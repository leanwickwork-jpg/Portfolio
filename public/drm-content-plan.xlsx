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cer\Desktop\TEST\"/>
    </mc:Choice>
  </mc:AlternateContent>
  <xr:revisionPtr revIDLastSave="0" documentId="13_ncr:1_{99F321B4-D0C7-4690-8F04-F51C8F10A6E9}" xr6:coauthVersionLast="47" xr6:coauthVersionMax="47" xr10:uidLastSave="{00000000-0000-0000-0000-000000000000}"/>
  <bookViews>
    <workbookView xWindow="-120" yWindow="-120" windowWidth="29040" windowHeight="15720" tabRatio="500" firstSheet="1" activeTab="2" xr2:uid="{00000000-000D-0000-FFFF-FFFF00000000}"/>
  </bookViews>
  <sheets>
    <sheet name="📊 Dashboard" sheetId="1" r:id="rId1"/>
    <sheet name="📌 Content Pillar &amp; Angle" sheetId="2" r:id="rId2"/>
    <sheet name="📅 Content Calendar" sheetId="3" r:id="rId3"/>
    <sheet name="💬 Social Proof" sheetId="4" r:id="rId4"/>
    <sheet name="💰 Ngân Sách &amp; Nhân Sự"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0" i="5" l="1"/>
  <c r="D10" i="5"/>
  <c r="C10" i="5"/>
</calcChain>
</file>

<file path=xl/sharedStrings.xml><?xml version="1.0" encoding="utf-8"?>
<sst xmlns="http://schemas.openxmlformats.org/spreadsheetml/2006/main" count="332" uniqueCount="299">
  <si>
    <t>DRM DESIGN — KẾ HOẠCH CONTENT MARKETING 3 THÁNG</t>
  </si>
  <si>
    <t>Không gian đúng chất  •  Thương Hiệu Đúng Tầm  •  Đầu Tư Đúng Cách</t>
  </si>
  <si>
    <t>MỤC TIÊU</t>
  </si>
  <si>
    <t>KÊNH FB</t>
  </si>
  <si>
    <t>KÊNH TIKTOK</t>
  </si>
  <si>
    <t>BUDGET/THÁNG</t>
  </si>
  <si>
    <t>THỜI GIAN</t>
  </si>
  <si>
    <t>NHÂN SỰ</t>
  </si>
  <si>
    <t>100 triệu / tháng</t>
  </si>
  <si>
    <t>70% doanh thu</t>
  </si>
  <si>
    <t>30% doanh thu</t>
  </si>
  <si>
    <t>12–15 triệu</t>
  </si>
  <si>
    <t>3 tháng</t>
  </si>
  <si>
    <t>3 người + 1 freelance</t>
  </si>
  <si>
    <t xml:space="preserve">  🎯  3 KPI QUAN TRỌNG HOÀN THÀNH MỤC TIÊU</t>
  </si>
  <si>
    <t>KPI 01</t>
  </si>
  <si>
    <t>Lead chất lượng ≥ 50%</t>
  </si>
  <si>
    <t>Hiện tại: 33–41% → Mục tiêu: ≥50%</t>
  </si>
  <si>
    <t>→</t>
  </si>
  <si>
    <t>Content qualifying: đưa ngân sách tối thiểu vào bài → tự lọc lead</t>
  </si>
  <si>
    <t>Targeting Facebook: hành vi chủ quán cafe/nhà hàng tại ĐN–HAN–HUẾ</t>
  </si>
  <si>
    <t>A/B test creative 2 tuần/lần: Aesthetic vs ROI vs Pain Point</t>
  </si>
  <si>
    <t>KPI 02</t>
  </si>
  <si>
    <t>Tỷ lệ chuyển đổi Lead → HĐ ≥ 20%</t>
  </si>
  <si>
    <t>Hiện tại: 10–15% → Mục tiêu: ≥20%</t>
  </si>
  <si>
    <t>Content nurture: series giải đáp 5 câu hỏi trước khi ký HĐ</t>
  </si>
  <si>
    <t>Social Proof chiều sâu: câu chuyện công trình + kết quả KD thực tế</t>
  </si>
  <si>
    <t>Content xử lý objection: 6 nỗi đau identified từ chân dung KH</t>
  </si>
  <si>
    <t>KPI 03</t>
  </si>
  <si>
    <t>70 triệu doanh thu từ Facebook</t>
  </si>
  <si>
    <t>6 hợp đồng thiết kế/tháng từ kênh Facebook</t>
  </si>
  <si>
    <t>Tăng Reels lên 3 video/tuần — reach organic x3–5 so với bài ảnh</t>
  </si>
  <si>
    <t>Seeding Group Facebook chuyên ngành F&amp;B tại miền Trung</t>
  </si>
  <si>
    <t>Retargeting tệp xem video ≥50% — CPL thấp hơn 40–60% cold audience</t>
  </si>
  <si>
    <t xml:space="preserve">  📐  TỶ LỆ PHÂN BỔ NỘI DUNG — LÝ DO CHIẾN LƯỢC</t>
  </si>
  <si>
    <t>PILLAR</t>
  </si>
  <si>
    <t>TỶ LỆ</t>
  </si>
  <si>
    <t>TÊN</t>
  </si>
  <si>
    <t>LÝ DO PHÂN BỔ NHƯ VẬY</t>
  </si>
  <si>
    <t>P1</t>
  </si>
  <si>
    <t>35%</t>
  </si>
  <si>
    <t>SHOWCASE</t>
  </si>
  <si>
    <t>Portfolio là tài sản cốt lõi. 20+ công trình đẹp = bằng chứng năng lực mạnh nhất. KH cần nhìn đủ nhiều để tin.</t>
  </si>
  <si>
    <t>P2</t>
  </si>
  <si>
    <t>30%</t>
  </si>
  <si>
    <t>EDUCATION</t>
  </si>
  <si>
    <t>Insight KH: 'không biết bắt đầu từ đâu, làm sao cho đúng'. Content tư vấn biến DRM thành người đồng hành, không chỉ đơn vị thiết kế.</t>
  </si>
  <si>
    <t>P3</t>
  </si>
  <si>
    <t>20%</t>
  </si>
  <si>
    <t>STORYTELLING</t>
  </si>
  <si>
    <t>Thiết kế mang tính cá nhân hóa — câu chuyện sau mỗi công trình là USP thật sự. Build brand dài hạn, tạo kết nối cảm xúc.</t>
  </si>
  <si>
    <t>P4</t>
  </si>
  <si>
    <t>15%</t>
  </si>
  <si>
    <t>CONVERSION</t>
  </si>
  <si>
    <t>KH là chủ DN, nhạy cảm với 'push bán'. Ít nhưng đúng timing. Dùng đúng chỗ (retarget tệp ấm) hiệu quả hơn spam cold traffic.</t>
  </si>
  <si>
    <t xml:space="preserve">  🚀  3 VIỆC PHẢI LÀM NGAY TUẦN 1</t>
  </si>
  <si>
    <t>01</t>
  </si>
  <si>
    <t>Content Asset Audit</t>
  </si>
  <si>
    <t>Liệt kê 20+ công trình theo 3 tiêu chí: ảnh chất lượng cao / quay video được / có câu chuyện để kể → Output: kho nguyên liệu 3 tháng</t>
  </si>
  <si>
    <t>02</t>
  </si>
  <si>
    <t>Test 3 Mẫu Ads — 500k/mẫu</t>
  </si>
  <si>
    <t>Mẫu A AESTHETIC, Mẫu B ROI, Mẫu C PAIN POINT. Đo CPL + chất lượng lead → dồn budget vào mẫu thắng từ tháng 2</t>
  </si>
  <si>
    <t>03</t>
  </si>
  <si>
    <t>Chuẩn Hóa Quy Trình Phản Hồi Lead</t>
  </si>
  <si>
    <t>Phản hồi trong 30 phút đầu + kịch bản 'Em gửi 3 công trình tương tự ngân sách' → tăng 5–8% conversion không tốn thêm ads</t>
  </si>
  <si>
    <t>CONTENT PILLAR &amp; CONTENT ANGLE — DRM DESIGN</t>
  </si>
  <si>
    <t>CONTENT ANGLE</t>
  </si>
  <si>
    <t>MÔ TẢ NỘI DUNG</t>
  </si>
  <si>
    <t>FORMAT ĐỀ XUẤT</t>
  </si>
  <si>
    <t>KÊNH</t>
  </si>
  <si>
    <t>P1
SHOWCASE</t>
  </si>
  <si>
    <t>Before → After cải tạo</t>
  </si>
  <si>
    <t>Video/ảnh so sánh không gian cũ nhàm → không gian có bản sắc sau DRM thiết kế. Nhấn mạnh sự biến đổi cảm xúc.</t>
  </si>
  <si>
    <t>Reels / Video ngắn 30–60s</t>
  </si>
  <si>
    <t>Facebook + TikTok</t>
  </si>
  <si>
    <t>Giải mã công trình</t>
  </si>
  <si>
    <t>Bài viết caption dài + ảnh chi tiết giải thích ý đồ thiết kế: tại sao góc này đặt như vậy, vật liệu này có ý nghĩa gì.</t>
  </si>
  <si>
    <t>Bài viết + ảnh carousel</t>
  </si>
  <si>
    <t>Facebook</t>
  </si>
  <si>
    <t>Công trình theo ngân sách</t>
  </si>
  <si>
    <t>Video/bài 'Xem 4xx triệu làm được gì tại DRM' — giải quyết trực tiếp nỗi lo về chi phí, đồng thời anchor giá trị.</t>
  </si>
  <si>
    <t>Video ngắn / Bài viết</t>
  </si>
  <si>
    <t>TikTok + Facebook</t>
  </si>
  <si>
    <t>Cận cảnh vật liệu &amp; ánh sáng</t>
  </si>
  <si>
    <t>Shots kiến trúc chuyên nghiệp: texture vật liệu, ánh sáng tự nhiên, góc khuất ít ai để ý. Tôn vẻ sang xịn của công trình.</t>
  </si>
  <si>
    <t>Ảnh chất lượng cao / Reels slow-motion</t>
  </si>
  <si>
    <t>Facebook + Pinterest</t>
  </si>
  <si>
    <t>Portfolio theo phong cách</t>
  </si>
  <si>
    <t>Series có chủ đề: Wabi-sabi / Địa Trung Hải / Minimalism / Industrial. Giúp KH nhận diện phong cách phù hợp với mình.</t>
  </si>
  <si>
    <t>Carousel / Album ảnh</t>
  </si>
  <si>
    <t>P2
EDUCATION</t>
  </si>
  <si>
    <t>Bài toán ngân sách thực tế</t>
  </si>
  <si>
    <t>Breakdown chi tiết 'Cần bao nhiêu tiền để mở quán cafe 50m² tại Đà Nẵng?'. Giáo dục thị trường, xây dựng kỳ vọng thực tế.</t>
  </si>
  <si>
    <t>Bài viết dài / Infographic</t>
  </si>
  <si>
    <t>Facebook + Group F&amp;B</t>
  </si>
  <si>
    <t>Những sai lầm phổ biến</t>
  </si>
  <si>
    <t>'3 sai lầm khiến chủ quán mất thêm 100 triệu khi cải tạo' — content pain-based cao, dễ share, thu hút đúng tệp.</t>
  </si>
  <si>
    <t>Video talking-head / Bài viết</t>
  </si>
  <si>
    <t>Checklist trước khi ký HĐ</t>
  </si>
  <si>
    <t>'5 điều cần kiểm tra trước khi chọn đơn vị thiết kế' — định vị DRM là đơn vị chỉn chu, đồng thời dạy KH cách đánh giá đối thủ.</t>
  </si>
  <si>
    <t>Bài viết / PDF lead magnet</t>
  </si>
  <si>
    <t>Facebook + Group</t>
  </si>
  <si>
    <t>Xu hướng thiết kế F&amp;B 2025–2026</t>
  </si>
  <si>
    <t>Top phong cách đang hot tại Đà Nẵng &amp; miền Trung. Kết hợp công trình DRM làm minh họa — vừa tư vấn vừa showcase.</t>
  </si>
  <si>
    <t>Bài viết + ảnh / Video</t>
  </si>
  <si>
    <t>Q&amp;A nhanh chuyên ngành</t>
  </si>
  <si>
    <t>Loạt câu hỏi thường gặp: thiết kế mất bao lâu? thi công có giám sát không? thay đổi thiết kế giữa chừng được không?</t>
  </si>
  <si>
    <t>Video ngắn Q&amp;A / Stories</t>
  </si>
  <si>
    <t>P3
STORYTELLING</t>
  </si>
  <si>
    <t>Câu chuyện hành trình công trình</t>
  </si>
  <si>
    <t>Từ brief ban đầu của chủ đầu tư → quá trình thiết kế → kết quả kinh doanh thực tế sau khi mở. Đây là loại content có độ tin cậy cao nhất.</t>
  </si>
  <si>
    <t>Bài viết dài / Mini-doc Reels</t>
  </si>
  <si>
    <t>Feedback KH theo nỗi đau</t>
  </si>
  <si>
    <t>Chị Kim Hoàn (cân bằng ngân sách), Anh Toàn (Nhiệt Tình–Kỹ Tính–Đúng Hẹn), Chị Thảo (hiện thực hóa câu chuyện thương hiệu). Mỗi cái dùng đúng tệp.</t>
  </si>
  <si>
    <t>Bài viết + quote card ảnh</t>
  </si>
  <si>
    <t>Hậu trường đội ngũ DRM</t>
  </si>
  <si>
    <t>Cách team làm việc, quy trình kiểm soát chất lượng, văn hóa công ty. Build sự tin tưởng vào con người đằng sau thương hiệu.</t>
  </si>
  <si>
    <t>Reels hậu trường / Bài viết</t>
  </si>
  <si>
    <t>Milestone &amp; câu chuyện DRM</t>
  </si>
  <si>
    <t>20+ công trình, hành trình phát triển, giá trị DRM theo đuổi. Định vị brand dài hạn, không chỉ bán dịch vụ.</t>
  </si>
  <si>
    <t>Bài viết brand narrative</t>
  </si>
  <si>
    <t>Phản hồi khách hàng dạng story</t>
  </si>
  <si>
    <t>Chuyển text feedback thành bài visual có chiều sâu: quote nổi bật + ảnh công trình + kết quả ngắn. Không chỉ screenshot.</t>
  </si>
  <si>
    <t>Ảnh quote + caption ngắn</t>
  </si>
  <si>
    <t>P4
CONVERSION</t>
  </si>
  <si>
    <t>Offer tư vấn miễn phí</t>
  </si>
  <si>
    <t>'Tư vấn miễn phí + báo giá sơ bộ trong 24h' — giảm rào cản bước đầu tiên. Đặc biệt hiệu quả với tệp đang phân vân giữa các đơn vị.</t>
  </si>
  <si>
    <t>Bài viết + quảng cáo</t>
  </si>
  <si>
    <t>Facebook Ads</t>
  </si>
  <si>
    <t>Facebook Lead Ads trực tiếp</t>
  </si>
  <si>
    <t>Form hỏi nhanh: loại công trình / diện tích dự kiến / ngân sách / thời gian dự kiến. Lọc lead ngay từ form, không cần inbox.</t>
  </si>
  <si>
    <t>Facebook Lead Ads form</t>
  </si>
  <si>
    <t>Case study + CTA nhẹ</t>
  </si>
  <si>
    <t>Sau khi kể câu chuyện thành công của công trình → 'Dự án của bạn đang ở bước nào?' — CTA tự nhiên, không bị cảm giác bị push.</t>
  </si>
  <si>
    <t>Bài viết dài + CTA cuối</t>
  </si>
  <si>
    <t>Retargeting content</t>
  </si>
  <si>
    <t>Ads nhắm riêng tệp đã xem video ≥50% hoặc đã vào website. Content riêng cho tệp này — họ đã biết DRM, chỉ cần lý do để inbox.</t>
  </si>
  <si>
    <t>Facebook Retargeting Ads</t>
  </si>
  <si>
    <t>Gói ưu đãi giới hạn tháng</t>
  </si>
  <si>
    <t>'Dự án khởi công trước ngày 28 nhận thêm...' — tạo urgency có lý do thực tế. Dùng cuối tháng để push nốt lead chưa chốt.</t>
  </si>
  <si>
    <t>Bài viết / Quảng cáo</t>
  </si>
  <si>
    <t>CONTENT CALENDAR — 3 THÁNG TRIỂN KHAI</t>
  </si>
  <si>
    <t>THÁNG</t>
  </si>
  <si>
    <t>TUẦN</t>
  </si>
  <si>
    <t>THEME</t>
  </si>
  <si>
    <t>NỘI DUNG FACEBOOK</t>
  </si>
  <si>
    <t>NỘI DUNG TIKTOK</t>
  </si>
  <si>
    <t>PILLAR MIX</t>
  </si>
  <si>
    <t>BUDGET ADS</t>
  </si>
  <si>
    <t>KPI THEO DÕI</t>
  </si>
  <si>
    <t>T1
XÂY NỀN
THU HÚT</t>
  </si>
  <si>
    <t>T1
Giới thiệu DRM</t>
  </si>
  <si>
    <t>Bài 1: Intro DRM + slogan + 3 công trình nổi bật 2025/2026
Bài 2: Bài toán ngân sách 'Mở quán cafe tại Đà Nẵng cần bao nhiêu?'
Bài 3: Showcase IKRA Restaurant 2026 — giải mã thiết kế
Bài 4: Checklist 5 điều cần làm trước khi thuê đơn vị thiết kế
Bài 5: Test ads mẫu A (Aesthetic) + B (ROI) + C (Pain Point)</t>
  </si>
  <si>
    <t>Video 1: DRM là ai? — Talking head giới thiệu công ty + công trình
Video 2: Showcase Emori Coffee — cinematic walkthrough
Video 3: Tip nhanh 'Sai lầm số 1 khi cải tạo quán'</t>
  </si>
  <si>
    <t>35% Showcase
30% Education
20% Story
15% Convert</t>
  </si>
  <si>
    <t>FB: 7tr (Awareness 4tr + Lead 3tr)
TikTok: 1tr
Nội dung: 3tr
Retarget: 1tr</t>
  </si>
  <si>
    <t>Reach FB
Follower TikTok
Lead tổng</t>
  </si>
  <si>
    <t>T2
Before/After &amp; Trust</t>
  </si>
  <si>
    <t>Bài 1: Before → After Miami Coffee — câu chuyện cải tạo
Bài 2: Xu hướng thiết kế F&amp;B hot nhất tại miền Trung 2025
Bài 3: Câu chuyện Chị Thảo 'DRM hiện thực hóa ước mơ thương hiệu'
Bài 4: Portfolio phong cách Wabi-sabi — 5 công trình tiêu biểu
Bài 5: Reels top 3 công trình under 5xx triệu</t>
  </si>
  <si>
    <t>Video 1: Before → After nhanh — IKRA Restaurant cải tạo
Video 2: Talking head '3 câu hỏi cần hỏi trước khi ký HĐ thiết kế'
Video 3: Showcase Le Bon Restaurant — không gian nhà hàng sang</t>
  </si>
  <si>
    <t>35% Showcase
30% Story
20% Education
15% Convert</t>
  </si>
  <si>
    <t>FB: 7tr
TikTok: 1.5tr
Nội dung: 2.5tr
Retarget: 1tr</t>
  </si>
  <si>
    <t>Lead chất lượng %
CPL so sánh 3 mẫu</t>
  </si>
  <si>
    <t>T3
Educate &amp; Build Credibility</t>
  </si>
  <si>
    <t>Bài 1: Cận cảnh vật liệu &amp; ánh sáng — series ảnh kiến trúc
Bài 2: Q&amp;A 'Thiết kế mất bao lâu? Thi công có giám sát không?'
Bài 3: Câu chuyện công trình Nguồn TN Coffee — hành trình đầy đủ
Bài 4: Giải mã thiết kế quầy bar — ý đồ đằng sau từng chi tiết
Bài 5: Offer tư vấn miễn phí (test conversion)</t>
  </si>
  <si>
    <t>Video 1: Giải mã thiết kế — tại sao không gian này đặc biệt
Video 2: Tip 'Tối ưu ngân sách F&amp;B mà không mất chất lượng'
Video 3: Showcase công trình F&amp;B nhỏ — dưới 300 triệu làm gì</t>
  </si>
  <si>
    <t>30% Education
30% Showcase
20% Story
20% Convert</t>
  </si>
  <si>
    <t>Tỷ lệ lead chất lượng
CTR theo mẫu ads</t>
  </si>
  <si>
    <t>T4
Portfolio &amp; First Conversion</t>
  </si>
  <si>
    <t>Bài 1: Top 3 công trình cải tạo under 5xx — dùng mẫu ads thắng
Bài 2: Feedback Anh Nguyễn Toàn 'Nhiệt Tình–Kỹ Tính–Đúng Hẹn'
Bài 3: Portfolio phong cách Địa Trung Hải tại DRM
Bài 4: Hậu trường đội ngũ — quy trình kiểm soát chất lượng
Bài 5: Lead Ads form — 'Bạn đang cần thiết kế công trình nào?'</t>
  </si>
  <si>
    <t>Video 1: Showcase công trình Spa luxury — không gian trải nghiệm
Video 2: Series 'Hỏi DRM' — câu hỏi từ followers
Video 3: CTA nhẹ 'Inbox DRM để được tư vấn ngân sách phù hợp'</t>
  </si>
  <si>
    <t>35% Showcase
20% Story
20% Education
25% Convert</t>
  </si>
  <si>
    <t>FB: 7tr (tăng Lead Ads)
TikTok: 2tr
Nội dung: 2tr
Retarget: 1tr</t>
  </si>
  <si>
    <t>Số HĐ tháng 1
Doanh thu T1</t>
  </si>
  <si>
    <t>T2
TỐI ƯU
CHUYỂN ĐỔI</t>
  </si>
  <si>
    <t>T5
Scale Best Content</t>
  </si>
  <si>
    <t>Bài 1: Remake bài best-performing T1 theo phong cách best-ads
Bài 2: ROI thực tế — 'Đầu tư bao nhiêu, bao lâu hoàn vốn với quán cafe?'
Bài 3: Feedback Chị Kim Hoàn — cân bằng ngân sách và ý tưởng
Bài 4: Showcase Le Bon / Miami theo format tốt nhất T1
Bài 5: Seeding Group F&amp;B miền Trung — bài tư vấn có giá trị</t>
  </si>
  <si>
    <t>Video 1: Trend âm nhạc + hình ảnh công trình đẹp nhất
Video 2: 'Bài toán ROI quán cafe 100 ghế tại Đà Nẵng'
Video 3: Showcase under 5xx triệu — emotional reveal</t>
  </si>
  <si>
    <t>35% Showcase
30% Education
20% Convert
15% Story</t>
  </si>
  <si>
    <t>FB: 8tr (scale mẫu thắng)
TikTok: 2tr
Nội dung: 2tr
Retarget: 1tr</t>
  </si>
  <si>
    <t>CPL so T1
Lead chất lượng %</t>
  </si>
  <si>
    <t>T6
Objection Handling</t>
  </si>
  <si>
    <t>Bài 1: 'Làm sao không bị đội giá khi thi công?' — xử lý objection 1
Bài 2: 'Thiết kế có thể thay đổi giữa chừng không?' — objection 2
Bài 3: Câu chuyện công trình IKRA — từ brief đến bàn giao
Bài 4: Offer giới hạn tháng — 'Dự án khởi công T2 nhận thêm...'
Bài 5: Retarget — ads riêng tệp xem video T1 ≥50%</t>
  </si>
  <si>
    <t>Video 1: 'Sai lầm đắt giá nhất khi chọn đơn vị thi công'
Video 2: 'Cách đọc bảng dự toán để không bị thiệt'
Video 3: Q&amp;A phần 2 từ câu hỏi followers thật</t>
  </si>
  <si>
    <t>30% Education
30% Convert
25% Showcase
15% Story</t>
  </si>
  <si>
    <t>FB: 8tr
TikTok: 2.5tr
Nội dung: 1.5tr
Retarget: 1tr</t>
  </si>
  <si>
    <t>Tỷ lệ lead chất lượng
Conversion rate T2</t>
  </si>
  <si>
    <t>T7
Deep Nurture</t>
  </si>
  <si>
    <t>Bài 1: Hành trình 1 công trình đầu → cuối — mini documentary
Bài 2: '5 câu hỏi cần hỏi trước khi ký HĐ thiết kế' — nurture content
Bài 3: Milestone DRM — 20+ công trình, giá trị theo đuổi
Bài 4: Tư vấn chuyên sâu: set up bếp nhà hàng chuẩn
Bài 5: Lead Ads form lần 2 — optimize từ data T1</t>
  </si>
  <si>
    <t>Video 1: Công trình đầu → cuối trong 60s — emotional storytelling
Video 2: Tip chuyên sâu 'Vai trò của cây xanh trong thiết kế F&amp;B'
Video 3: Retarget content — nhắc lại DRM với tệp ấm</t>
  </si>
  <si>
    <t>25% Story
30% Education
25% Showcase
20% Convert</t>
  </si>
  <si>
    <t>FB: 9tr
TikTok: 2tr
Nội dung: 1tr
Retarget: 1tr</t>
  </si>
  <si>
    <t>Lead chất lượng %
Cost per qualified lead</t>
  </si>
  <si>
    <t>T8
Authority &amp; CTA Rõ</t>
  </si>
  <si>
    <t>Bài 1: 'Top 5 công trình DRM đáng nhớ nhất 2025' — tổng hợp
Bài 2: Series Hỏi DRM phần 2 — câu hỏi về thi công &amp; giám sát
Bài 3: Feedback Chị Thủy + Linh Hân — team lắng nghe, thấu hiểu
Bài 4: Showcase công trình Shop/Retail — mở rộng tệp 20%
Bài 5: CTA rõ — 'Tháng 3 DRM còn X slot dự án, inbox ngay'</t>
  </si>
  <si>
    <t>Video 1: Top 3 công trình nhỏ–vừa — under 400 triệu
Video 2: Authority content — 'Tại sao không gian F&amp;B đặc biệt giúp tăng doanh số?'
Video 3: CTA trực tiếp — tư vấn miễn phí + báo giá 24h</t>
  </si>
  <si>
    <t>30% Showcase
20% Story
20% Education
30% Convert</t>
  </si>
  <si>
    <t>Số HĐ tháng 2
Doanh thu T2</t>
  </si>
  <si>
    <t>T3
SCALE
CHỐT MỤC TIÊU</t>
  </si>
  <si>
    <t>T9
Campaign Chốt HĐ</t>
  </si>
  <si>
    <t>Bài 1: Campaign 'Bắt đầu dự án của bạn từ đây' — ads mạnh nhất
Bài 2: Mini-series 'Công trình dưới 5xx triệu tại Đà Nẵng' (tập 1)
Bài 3: Showcase IKRA + Emori 2026 — công trình mới nhất
Bài 4: Objection handling cuối: 'Tại sao nên chọn đơn vị chuyên F&amp;B?'
Bài 5: Retarget intensive — nhắm toàn bộ tệp ấm 2 tháng trước</t>
  </si>
  <si>
    <t>Video 1: Mini-series tập 1 — công trình under 5xx triệu ĐN
Video 2: Showcase IKRA / Le Bon 2026 — mới nhất, đẹp nhất
Video 3: CTA 'Slot tháng 3 còn X — inbox DRM ngay hôm nay'</t>
  </si>
  <si>
    <t>35% Showcase
15% Education
15% Story
35% Convert</t>
  </si>
  <si>
    <t>FB: 10tr
TikTok: 2tr
Nội dung: 2tr
Retarget: 1tr</t>
  </si>
  <si>
    <t>Lead form fills
Conversion rate T3</t>
  </si>
  <si>
    <t>T10
New Portfolio Push</t>
  </si>
  <si>
    <t>Bài 1: Công trình mới nhất 2026 ra mắt — ưu tiên visual đẹp nhất
Bài 2: Mini-series tập 2 — công trình under 5xx triệu
Bài 3: Tip tối ưu cuối năm 'Cải tạo trước Tết — lợi gì?'
Bài 4: Behind the scenes công trình đang thi công (nếu có)
Bài 5: Ads scale mạnh nhất — dồn toàn bộ vào mẫu top performance</t>
  </si>
  <si>
    <t>Video 1: Reveal công trình 2026 mới nhất — dramatic reveal style
Video 2: Mini-series tập 2 — góc nhìn khác nhau
Video 3: Tip nhanh 'Tối ưu không gian khi có ngân sách hạn chế'</t>
  </si>
  <si>
    <t>40% Showcase
15% Education
10% Story
35% Convert</t>
  </si>
  <si>
    <t>CPL T3 vs T1
Doanh thu luỹ kế</t>
  </si>
  <si>
    <t>T11
Chốt Tháng</t>
  </si>
  <si>
    <t>Bài 1: 'Top câu hỏi thường gặp về thiết kế F&amp;B' — Q&amp;A tổng hợp
Bài 2: Showcase kèm báo giá tham khảo — anchor giá trị
Bài 3: Feedback tổng hợp — best of 3 tháng
Bài 4: Case study hoàn chỉnh — 1 công trình từ đầu đến cuối + KQ KD
Bài 5: Urgency post — 'Còn X ngày inbox để kịp khởi công T3'</t>
  </si>
  <si>
    <t>Video 1: Q&amp;A dài 2 phút — top câu hỏi từ followers
Video 2: Showcase công trình kèm số liệu đầu tư thực
Video 3: CTA cuối tháng — tạo urgency có lý do thực tế</t>
  </si>
  <si>
    <t>25% Showcase
20% Education
15% Story
40% Convert</t>
  </si>
  <si>
    <t>FB: 11tr
TikTok: 2tr
Nội dung: 1tr
Retarget: 1tr</t>
  </si>
  <si>
    <t>Số HĐ tháng 3
Doanh thu T3</t>
  </si>
  <si>
    <t>T12
Tổng Kết &amp; Định Vị</t>
  </si>
  <si>
    <t>Bài 1: Tổng kết top công trình DRM 2025–2026 — visual đẹp nhất
Bài 2: Định vị DRM cho năm tới — thông điệp brand dài hạn
Bài 3: Cảm ơn KH &amp; đối tác — storytelling kết nối cảm xúc
Bài 4: Teaser dự án sắp tới 2026 — tạo anticipation
Bài 5: Follow/inbox invite — mời tệp đang theo dõi kết nối trực tiếp</t>
  </si>
  <si>
    <t>Video 1: Tổng kết top công trình — cinematic montage
Video 2: 'Tại sao DRM chỉ làm F&amp;B &amp; thương mại dịch vụ?' — brand statement
Video 3: CTA follow + inbox để nhận tư vấn ưu tiên</t>
  </si>
  <si>
    <t>40% Showcase
20% Story
15% Education
25% Convert</t>
  </si>
  <si>
    <t>Doanh thu T3
KPI 3 tháng vs target</t>
  </si>
  <si>
    <t>SOCIAL PROOF — FEEDBACK KH &amp; CÁCH TÍCH HỢP VÀO CONTENT</t>
  </si>
  <si>
    <t>Mỗi feedback phục vụ 1 nỗi đau khác nhau — dùng đúng chỗ, đúng tệp, đúng timing mới tạo ra chuyển đổi</t>
  </si>
  <si>
    <t>KHÁCH HÀNG</t>
  </si>
  <si>
    <t>DỰ ÁN</t>
  </si>
  <si>
    <t>NỘI DUNG FEEDBACK</t>
  </si>
  <si>
    <t>NỖI ĐAU GIẢI QUYẾT</t>
  </si>
  <si>
    <t>CÁCH DÙNG TRONG CONTENT</t>
  </si>
  <si>
    <t>Chị Kim Hoàn</t>
  </si>
  <si>
    <t>Công trình F&amp;B</t>
  </si>
  <si>
    <t>"Ấn tượng với thiết kế đáp ứng đúng yêu cầu. Đặc biệt đánh giá cao khả năng cân bằng giữa bài toán chi phí (ngân sách) và ý tưởng thiết kế của đội ngũ."</t>
  </si>
  <si>
    <t>Nỗi đau #1: Chi phí cao, không rõ ràng — KH sợ bị đội giá, thiếu minh bạch ngân sách</t>
  </si>
  <si>
    <t>• Content Education về ngân sách: trích dẫn feedback này cuối bài
• Ads Conversion: dùng quote này làm social proof cho tệp đang lo ngại chi phí
• Caption dưới ảnh công trình kèm mention về 'tối ưu ngân sách'</t>
  </si>
  <si>
    <t>Anh Nguyễn Toàn</t>
  </si>
  <si>
    <t>GDB Shop — Shop kinh doanh</t>
  </si>
  <si>
    <t>"DRM Design đáp ứng đúng style mong muốn, luôn đưa ra giải pháp tối ưu. Đội ngũ KTS làm việc chuyên nghiệp, tuân thủ deadline và giám sát công trình cực kỳ kỹ tính, chặt chẽ." — Từ khóa: "Nhiệt Tình – Kỹ Tính – Đúng Hẹn"</t>
  </si>
  <si>
    <t>Nỗi đau #3,4: Chất lượng thi công không đảm bảo + Tiến độ bị trễ, không có giám sát</t>
  </si>
  <si>
    <t>• Storytelling post: kể chuyện công trình GDB Shop + highlight từ khóa vàng
• Caption Showcase: luôn kèm câu 'Nhiệt Tình – Kỹ Tính – Đúng Hẹn' như tagline phụ
• Ads retarget tệp đang so sánh DRM vs đối thủ</t>
  </si>
  <si>
    <t>Chị Thảo</t>
  </si>
  <si>
    <t>Cà phê - Nhà hàng</t>
  </si>
  <si>
    <t>"Đánh giá sản phẩm thiết kế tốt và bày tỏ sự hạnh phúc khi DRM Design đã hiện thực hóa ước mơ cũng như câu chuyện thương hiệu của chị vào không gian."</t>
  </si>
  <si>
    <t>Insight cốt lõi: KH không chỉ cần không gian đẹp mà cần không gian kể câu chuyện thương hiệu — đúng với slogan DRM</t>
  </si>
  <si>
    <t>• Storytelling chủ lực: đây là feedback mạnh nhất cho brand positioning
• Dùng trong slide intro, website, và bài brand narrative
• Ads awareness nhắm cold audience F&amp;B — người lần đầu biết DRM</t>
  </si>
  <si>
    <t>Chị Thủy</t>
  </si>
  <si>
    <t>"Rất hài lòng vì thiết kế ấn tượng, đúng nguyện vọng và nhận được phản hồi tốt từ khách hàng của chị. Chị cam kết sẽ thi công bám sát thiết kế nhất có thể."</t>
  </si>
  <si>
    <t>Nỗi đau #2: Lo ngại chất lượng bản thiết kế không phản ánh thực tế thi công
Result proof: thiết kế → phản hồi tốt từ khách hàng của KH = ROI thực tế</t>
  </si>
  <si>
    <t>• Showcase F&amp;B: caption kết hợp feedback này để chứng minh 'thiết kế có tác động đến doanh thu'
• Content Education về kết nối thiết kế và trải nghiệm khách hàng
• Dùng cho tệp cafe/nhà hàng đang xem xét đầu tư</t>
  </si>
  <si>
    <t>Linh Hân</t>
  </si>
  <si>
    <t>Shop - Cửa hàng kinh doanh</t>
  </si>
  <si>
    <t>"Cảm thấy may mắn khi hợp tác vì team biết lắng nghe, thấu hiểu và thể hiện ý tưởng sát với mong muốn. Rất hài lòng với sự hỗ trợ nhiệt tâm từ phía công ty."</t>
  </si>
  <si>
    <t>Nỗi đau #5: Thái độ làm việc — sợ bị thiếu lắng nghe, không được tôn trọng ý kiến, bị 'áp đặt' thiết kế</t>
  </si>
  <si>
    <t>• Caption Showcase shop/retail: kết hợp từ 'lắng nghe &amp; thấu hiểu' như proof
• Storytelling về quy trình làm việc của DRM — brief → revise → deliver
• Dùng cho tệp đang cân nhắc lần đầu hợp tác với DRM</t>
  </si>
  <si>
    <t>Anh Hiếu</t>
  </si>
  <si>
    <t>Không gian dịch vụ</t>
  </si>
  <si>
    <t>"Khen ngợi không gian ấn tượng, sáng tạo và mang lại cảm giác rất ấm cúng. Bày tỏ sự hài lòng tuyệt đối với sản phẩm nhận được."</t>
  </si>
  <si>
    <t>Giá trị cảm xúc: không gian không chỉ đẹp mà còn tạo cảm giác ấm cúng — kết nối người dùng và không gian</t>
  </si>
  <si>
    <t>• Showcase creative: dùng từ 'ấm cúng + sáng tạo' làm anchor cảm xúc trong caption
• Content về vai trò của cảm xúc trong thiết kế không gian dịch vụ
• Phù hợp cho content nhắm segment spa/thẩm mỹ/không gian wellness</t>
  </si>
  <si>
    <t>PHÂN BỔ NGÂN SÁCH &amp; NHÂN SỰ TRIỂN KHAI</t>
  </si>
  <si>
    <t>HẠNG MỤC</t>
  </si>
  <si>
    <t>THÁNG 1 (12tr)</t>
  </si>
  <si>
    <t>THÁNG 2 (13tr)</t>
  </si>
  <si>
    <t>THÁNG 3 (15tr)</t>
  </si>
  <si>
    <t>GHI CHÚ CHIẾN LƯỢC</t>
  </si>
  <si>
    <t>Brand Awareness (FB)</t>
  </si>
  <si>
    <t>T1 cao nhất để nhiều người biết DRM. Giảm dần khi brand đã có nhận diện</t>
  </si>
  <si>
    <t>Lead Gen Ads (FB)</t>
  </si>
  <si>
    <t>Tăng dần theo mức độ nhận diện. T3 dồn mạnh để 'gặt' kết quả 3 tháng xây dựng</t>
  </si>
  <si>
    <t>Retargeting Ads (FB)</t>
  </si>
  <si>
    <t>Tăng mạnh từ T2. CPL thấp hơn 40–60% cold — đây là ROI tốt nhất của toàn chiến dịch</t>
  </si>
  <si>
    <t>Nội dung / Design</t>
  </si>
  <si>
    <t>Tăng dần khi cần chất lượng cao hơn (công trình 2026 mới nhất, video cinematic)</t>
  </si>
  <si>
    <t>TikTok Promote</t>
  </si>
  <si>
    <t>T2 tăng mạnh khi kênh đã có content tốt từ T1. T3 giữ ổn định</t>
  </si>
  <si>
    <t>TỔNG</t>
  </si>
  <si>
    <t>Tổng 3 tháng: =C10+D10+E10 triệu đồng</t>
  </si>
  <si>
    <t xml:space="preserve">  👥  NHÂN SỰ TRIỂN KHAI — VAI TRÒ &amp; TRÁCH NHIỆM</t>
  </si>
  <si>
    <t>VAI TRÒ</t>
  </si>
  <si>
    <t>TRÁCH NHIỆM CHÍNH</t>
  </si>
  <si>
    <t>% THỜI GIAN</t>
  </si>
  <si>
    <t>CÔNG VIỆC CỤ THỂ TRONG KH NÀY</t>
  </si>
  <si>
    <t>Leader MKT</t>
  </si>
  <si>
    <t>Hoạch định chiến lược, phân chia công việc, theo dõi KPI toàn team</t>
  </si>
  <si>
    <t>50% Planning
30% Thực thi
20% Khác</t>
  </si>
  <si>
    <t>• Xây dựng brief content tuần/tháng
• Theo dõi dashboard KPI hàng tuần
• A/B test và tối ưu ads liên tục
• Điều phối freelance design &amp; CTV
• Báo cáo kết quả tháng cho BLĐ</t>
  </si>
  <si>
    <t>Content Creator</t>
  </si>
  <si>
    <t>Thực thi nội dung, theo dõi chỉ số, hỗ trợ leader</t>
  </si>
  <si>
    <t>50% Thực thi
30% Theo dõi
20% Khác</t>
  </si>
  <si>
    <t>• Viết caption Facebook (5 bài/tuần)
• Script + outline video TikTok (3 video/tuần)
• Seeding Group F&amp;B miền Trung
• Theo dõi engagement và báo cáo
• Đề xuất cải thiện content theo data</t>
  </si>
  <si>
    <t>2× CTV Content
(8 buổi/tuần)</t>
  </si>
  <si>
    <t>Thực thi theo plan, hỗ trợ sản xuất nội dung</t>
  </si>
  <si>
    <t>80% Thực thi
20% Khác</t>
  </si>
  <si>
    <t>• Đăng bài theo lịch đã duyệt
• Reply comment và inbox cơ bản
• Research trend TikTok hàng tuần
• Hỗ trợ chụp ảnh/quay phụ trợ
• Tổng hợp content cho Facebook Group</t>
  </si>
  <si>
    <t>CTV Design/Edit</t>
  </si>
  <si>
    <t>Thiết kế hình ảnh &amp; edit video theo brief</t>
  </si>
  <si>
    <t>• Thiết kế ảnh post Facebook theo template
• Edit video TikTok ngắn (30–60s)
• Tạo carousel/album ảnh theo content plan
• Hỗ trợ làm vật liệu cho ads
• Lưu trữ file theo hệ thống</t>
  </si>
  <si>
    <t>Freelance Design
(High Quality)</t>
  </si>
  <si>
    <t>Poster &amp; Video Ads đòi hỏi chất lượng cao</t>
  </si>
  <si>
    <t>Theo dự án</t>
  </si>
  <si>
    <t>• Poster quảng cáo Facebook/TikTok Ads
• Video ads cinematic (công trình mới)
• Key visual cho campaign conversion
• Ảnh kiến trúc chất lượng cao khi cần
• Output: 2–4 asset/tháng chất lượng premium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</si>
</sst>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x14ac:knownFonts="1">
    <font>
      <sz val="11"/>
      <color theme="1"/>
      <name val="Calibri"/>
      <family val="2"/>
      <charset val="1"/>
    </font>
    <font>
      <b/>
      <sz val="18"/>
      <color rgb="FFC8A96E"/>
      <name val="Arial"/>
      <charset val="1"/>
    </font>
    <font>
      <i/>
      <sz val="11"/>
      <color rgb="FFF5EDD8"/>
      <name val="Arial"/>
      <charset val="1"/>
    </font>
    <font>
      <b/>
      <sz val="8"/>
      <color rgb="FFC8A96E"/>
      <name val="Arial"/>
      <charset val="1"/>
    </font>
    <font>
      <b/>
      <sz val="10"/>
      <color rgb="FF1A1A2E"/>
      <name val="Arial"/>
      <charset val="1"/>
    </font>
    <font>
      <b/>
      <sz val="12"/>
      <color rgb="FFFFFFFF"/>
      <name val="Arial"/>
      <charset val="1"/>
    </font>
    <font>
      <b/>
      <sz val="9"/>
      <color rgb="FFFFFFFF"/>
      <name val="Arial"/>
      <charset val="1"/>
    </font>
    <font>
      <b/>
      <sz val="10"/>
      <color rgb="FF1E40AF"/>
      <name val="Arial"/>
      <charset val="1"/>
    </font>
    <font>
      <i/>
      <sz val="9"/>
      <color rgb="FF1E40AF"/>
      <name val="Arial"/>
      <charset val="1"/>
    </font>
    <font>
      <b/>
      <sz val="9"/>
      <color rgb="FF1E40AF"/>
      <name val="Arial"/>
      <charset val="1"/>
    </font>
    <font>
      <sz val="9"/>
      <color rgb="FF374151"/>
      <name val="Arial"/>
      <charset val="1"/>
    </font>
    <font>
      <b/>
      <sz val="10"/>
      <color rgb="FFD97706"/>
      <name val="Arial"/>
      <charset val="1"/>
    </font>
    <font>
      <i/>
      <sz val="9"/>
      <color rgb="FFD97706"/>
      <name val="Arial"/>
      <charset val="1"/>
    </font>
    <font>
      <b/>
      <sz val="9"/>
      <color rgb="FFD97706"/>
      <name val="Arial"/>
      <charset val="1"/>
    </font>
    <font>
      <b/>
      <sz val="10"/>
      <color rgb="FF059669"/>
      <name val="Arial"/>
      <charset val="1"/>
    </font>
    <font>
      <i/>
      <sz val="9"/>
      <color rgb="FF059669"/>
      <name val="Arial"/>
      <charset val="1"/>
    </font>
    <font>
      <b/>
      <sz val="9"/>
      <color rgb="FF059669"/>
      <name val="Arial"/>
      <charset val="1"/>
    </font>
    <font>
      <b/>
      <sz val="9"/>
      <color rgb="FFC8A96E"/>
      <name val="Arial"/>
      <charset val="1"/>
    </font>
    <font>
      <b/>
      <sz val="10"/>
      <color rgb="FFFFFFFF"/>
      <name val="Arial"/>
      <charset val="1"/>
    </font>
    <font>
      <b/>
      <sz val="16"/>
      <color rgb="FF1E40AF"/>
      <name val="Arial"/>
      <charset val="1"/>
    </font>
    <font>
      <b/>
      <sz val="16"/>
      <color rgb="FFD97706"/>
      <name val="Arial"/>
      <charset val="1"/>
    </font>
    <font>
      <b/>
      <sz val="16"/>
      <color rgb="FF6D28D9"/>
      <name val="Arial"/>
      <charset val="1"/>
    </font>
    <font>
      <b/>
      <sz val="10"/>
      <color rgb="FF6D28D9"/>
      <name val="Arial"/>
      <charset val="1"/>
    </font>
    <font>
      <b/>
      <sz val="16"/>
      <color rgb="FF059669"/>
      <name val="Arial"/>
      <charset val="1"/>
    </font>
    <font>
      <b/>
      <sz val="14"/>
      <color rgb="FFFFFFFF"/>
      <name val="Arial"/>
      <charset val="1"/>
    </font>
    <font>
      <b/>
      <sz val="16"/>
      <color rgb="FFC8A96E"/>
      <name val="Arial"/>
      <charset val="1"/>
    </font>
    <font>
      <b/>
      <sz val="10"/>
      <color rgb="FFC8A96E"/>
      <name val="Arial"/>
      <charset val="1"/>
    </font>
    <font>
      <b/>
      <sz val="11"/>
      <color rgb="FFFFFFFF"/>
      <name val="Arial"/>
      <charset val="1"/>
    </font>
    <font>
      <b/>
      <sz val="20"/>
      <color rgb="FF1E40AF"/>
      <name val="Arial"/>
      <charset val="1"/>
    </font>
    <font>
      <sz val="9"/>
      <color rgb="FF1E40AF"/>
      <name val="Arial"/>
      <charset val="1"/>
    </font>
    <font>
      <sz val="9"/>
      <color rgb="FF6B7280"/>
      <name val="Arial"/>
      <charset val="1"/>
    </font>
    <font>
      <b/>
      <sz val="20"/>
      <color rgb="FFD97706"/>
      <name val="Arial"/>
      <charset val="1"/>
    </font>
    <font>
      <sz val="9"/>
      <color rgb="FFD97706"/>
      <name val="Arial"/>
      <charset val="1"/>
    </font>
    <font>
      <b/>
      <sz val="20"/>
      <color rgb="FF6D28D9"/>
      <name val="Arial"/>
      <charset val="1"/>
    </font>
    <font>
      <sz val="9"/>
      <color rgb="FF6D28D9"/>
      <name val="Arial"/>
      <charset val="1"/>
    </font>
    <font>
      <b/>
      <sz val="20"/>
      <color rgb="FF059669"/>
      <name val="Arial"/>
      <charset val="1"/>
    </font>
    <font>
      <sz val="9"/>
      <color rgb="FF059669"/>
      <name val="Arial"/>
      <charset val="1"/>
    </font>
    <font>
      <sz val="8"/>
      <color rgb="FF374151"/>
      <name val="Arial"/>
      <charset val="1"/>
    </font>
    <font>
      <sz val="8"/>
      <color rgb="FF1E40AF"/>
      <name val="Arial"/>
      <charset val="1"/>
    </font>
    <font>
      <sz val="8"/>
      <color rgb="FFD97706"/>
      <name val="Arial"/>
      <charset val="1"/>
    </font>
    <font>
      <sz val="8"/>
      <color rgb="FF059669"/>
      <name val="Arial"/>
      <charset val="1"/>
    </font>
    <font>
      <i/>
      <sz val="9"/>
      <color rgb="FF1A1A2E"/>
      <name val="Arial"/>
      <charset val="1"/>
    </font>
    <font>
      <i/>
      <sz val="9"/>
      <color rgb="FF374151"/>
      <name val="Arial"/>
      <charset val="1"/>
    </font>
    <font>
      <sz val="10"/>
      <color rgb="FF374151"/>
      <name val="Arial"/>
      <charset val="1"/>
    </font>
    <font>
      <sz val="10"/>
      <color rgb="FF1E40AF"/>
      <name val="Arial"/>
      <charset val="1"/>
    </font>
    <font>
      <sz val="10"/>
      <color rgb="FFD97706"/>
      <name val="Arial"/>
      <charset val="1"/>
    </font>
    <font>
      <sz val="10"/>
      <color rgb="FF059669"/>
      <name val="Arial"/>
      <charset val="1"/>
    </font>
    <font>
      <sz val="10"/>
      <color rgb="FF6D28D9"/>
      <name val="Arial"/>
      <charset val="1"/>
    </font>
    <font>
      <b/>
      <sz val="11"/>
      <color rgb="FFC8A96E"/>
      <name val="Arial"/>
      <charset val="1"/>
    </font>
    <font>
      <b/>
      <sz val="9"/>
      <color rgb="FF1E40AF"/>
      <name val="Arial"/>
      <family val="2"/>
    </font>
    <font>
      <b/>
      <sz val="9"/>
      <color rgb="FFD97706"/>
      <name val="Arial"/>
      <family val="2"/>
    </font>
    <font>
      <b/>
      <sz val="9"/>
      <color rgb="FF6D28D9"/>
      <name val="Arial"/>
      <family val="2"/>
    </font>
    <font>
      <b/>
      <sz val="9"/>
      <color rgb="FF059669"/>
      <name val="Arial"/>
      <family val="2"/>
    </font>
    <font>
      <b/>
      <sz val="9"/>
      <color rgb="FF6B7280"/>
      <name val="Arial"/>
      <family val="2"/>
    </font>
  </fonts>
  <fills count="16">
    <fill>
      <patternFill patternType="none"/>
    </fill>
    <fill>
      <patternFill patternType="gray125"/>
    </fill>
    <fill>
      <patternFill patternType="solid">
        <fgColor rgb="FF1A1A2E"/>
        <bgColor rgb="FF003300"/>
      </patternFill>
    </fill>
    <fill>
      <patternFill patternType="solid">
        <fgColor rgb="FFC8A96E"/>
        <bgColor rgb="FF969696"/>
      </patternFill>
    </fill>
    <fill>
      <patternFill patternType="solid">
        <fgColor rgb="FF2D3561"/>
        <bgColor rgb="FF374151"/>
      </patternFill>
    </fill>
    <fill>
      <patternFill patternType="solid">
        <fgColor rgb="FFF5EDD8"/>
        <bgColor rgb="FFF5F1EB"/>
      </patternFill>
    </fill>
    <fill>
      <patternFill patternType="solid">
        <fgColor rgb="FF1E40AF"/>
        <bgColor rgb="FF2D3561"/>
      </patternFill>
    </fill>
    <fill>
      <patternFill patternType="solid">
        <fgColor rgb="FFDBEAFE"/>
        <bgColor rgb="FFEDE9FE"/>
      </patternFill>
    </fill>
    <fill>
      <patternFill patternType="solid">
        <fgColor rgb="FFFFFFFF"/>
        <bgColor rgb="FFF5F1EB"/>
      </patternFill>
    </fill>
    <fill>
      <patternFill patternType="solid">
        <fgColor rgb="FFD97706"/>
        <bgColor rgb="FFFF9900"/>
      </patternFill>
    </fill>
    <fill>
      <patternFill patternType="solid">
        <fgColor rgb="FFFEF3C7"/>
        <bgColor rgb="FFF5EDD8"/>
      </patternFill>
    </fill>
    <fill>
      <patternFill patternType="solid">
        <fgColor rgb="FF059669"/>
        <bgColor rgb="FF008080"/>
      </patternFill>
    </fill>
    <fill>
      <patternFill patternType="solid">
        <fgColor rgb="FFD6F0E3"/>
        <bgColor rgb="FFDBEAFE"/>
      </patternFill>
    </fill>
    <fill>
      <patternFill patternType="solid">
        <fgColor rgb="FF6D28D9"/>
        <bgColor rgb="FF800080"/>
      </patternFill>
    </fill>
    <fill>
      <patternFill patternType="solid">
        <fgColor rgb="FFEDE9FE"/>
        <bgColor rgb="FFF5F1EB"/>
      </patternFill>
    </fill>
    <fill>
      <patternFill patternType="solid">
        <fgColor rgb="FFF5F1EB"/>
        <bgColor rgb="FFF5EDD8"/>
      </patternFill>
    </fill>
  </fills>
  <borders count="16">
    <border>
      <left/>
      <right/>
      <top/>
      <bottom/>
      <diagonal/>
    </border>
    <border>
      <left style="thin">
        <color rgb="FFC8A96E"/>
      </left>
      <right style="thin">
        <color rgb="FFC8A96E"/>
      </right>
      <top style="thin">
        <color rgb="FFC8A96E"/>
      </top>
      <bottom style="thin">
        <color rgb="FFC8A96E"/>
      </bottom>
      <diagonal/>
    </border>
    <border>
      <left style="thin">
        <color rgb="FF1E40AF"/>
      </left>
      <right style="thin">
        <color rgb="FF1E40AF"/>
      </right>
      <top style="thin">
        <color rgb="FF1E40AF"/>
      </top>
      <bottom style="thin">
        <color rgb="FF1E40AF"/>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
      <left style="thin">
        <color rgb="FFD97706"/>
      </left>
      <right style="thin">
        <color rgb="FFD97706"/>
      </right>
      <top style="thin">
        <color rgb="FFD97706"/>
      </top>
      <bottom style="thin">
        <color rgb="FFD97706"/>
      </bottom>
      <diagonal/>
    </border>
    <border>
      <left style="thin">
        <color rgb="FF059669"/>
      </left>
      <right style="thin">
        <color rgb="FF059669"/>
      </right>
      <top style="thin">
        <color rgb="FF059669"/>
      </top>
      <bottom style="thin">
        <color rgb="FF059669"/>
      </bottom>
      <diagonal/>
    </border>
    <border>
      <left style="thin">
        <color rgb="FF6D28D9"/>
      </left>
      <right style="thin">
        <color rgb="FF6D28D9"/>
      </right>
      <top style="thin">
        <color rgb="FF6D28D9"/>
      </top>
      <bottom style="thin">
        <color rgb="FF6D28D9"/>
      </bottom>
      <diagonal/>
    </border>
    <border>
      <left style="thin">
        <color rgb="FF1E40AF"/>
      </left>
      <right style="thin">
        <color rgb="FF1E40AF"/>
      </right>
      <top style="thin">
        <color rgb="FF1E40AF"/>
      </top>
      <bottom/>
      <diagonal/>
    </border>
    <border>
      <left style="thin">
        <color rgb="FFD97706"/>
      </left>
      <right style="thin">
        <color rgb="FFD97706"/>
      </right>
      <top style="thin">
        <color rgb="FFD97706"/>
      </top>
      <bottom/>
      <diagonal/>
    </border>
    <border>
      <left style="thin">
        <color rgb="FF6D28D9"/>
      </left>
      <right style="thin">
        <color rgb="FF6D28D9"/>
      </right>
      <top style="thin">
        <color rgb="FF6D28D9"/>
      </top>
      <bottom/>
      <diagonal/>
    </border>
    <border>
      <left style="thin">
        <color rgb="FF059669"/>
      </left>
      <right style="thin">
        <color rgb="FF059669"/>
      </right>
      <top style="thin">
        <color rgb="FF059669"/>
      </top>
      <bottom/>
      <diagonal/>
    </border>
    <border>
      <left style="thin">
        <color rgb="FFC8A96E"/>
      </left>
      <right/>
      <top style="thin">
        <color rgb="FFC8A96E"/>
      </top>
      <bottom style="thin">
        <color rgb="FFC8A96E"/>
      </bottom>
      <diagonal/>
    </border>
    <border>
      <left style="thin">
        <color rgb="FFD1D5DB"/>
      </left>
      <right style="thin">
        <color rgb="FFD1D5DB"/>
      </right>
      <top style="thin">
        <color rgb="FFD1D5DB"/>
      </top>
      <bottom style="medium">
        <color rgb="FFC8A96E"/>
      </bottom>
      <diagonal/>
    </border>
    <border>
      <left style="thin">
        <color indexed="64"/>
      </left>
      <right style="thin">
        <color indexed="64"/>
      </right>
      <top style="thin">
        <color indexed="64"/>
      </top>
      <bottom style="thin">
        <color indexed="64"/>
      </bottom>
      <diagonal/>
    </border>
    <border>
      <left style="thin">
        <color rgb="FFC8A96E"/>
      </left>
      <right style="thin">
        <color rgb="FFC8A96E"/>
      </right>
      <top style="thin">
        <color rgb="FFC8A96E"/>
      </top>
      <bottom/>
      <diagonal/>
    </border>
  </borders>
  <cellStyleXfs count="1">
    <xf numFmtId="0" fontId="0" fillId="0" borderId="0"/>
  </cellStyleXfs>
  <cellXfs count="97">
    <xf numFmtId="0" fontId="0" fillId="0" borderId="0" xfId="0"/>
    <xf numFmtId="0" fontId="27" fillId="6" borderId="8" xfId="0" applyFont="1" applyFill="1" applyBorder="1" applyAlignment="1">
      <alignment horizontal="center" vertical="center" wrapText="1"/>
    </xf>
    <xf numFmtId="0" fontId="25" fillId="2" borderId="0" xfId="0" applyFont="1" applyFill="1" applyAlignment="1">
      <alignment horizontal="center" vertical="center"/>
    </xf>
    <xf numFmtId="0" fontId="5" fillId="2" borderId="0" xfId="0" applyFont="1" applyFill="1" applyAlignment="1">
      <alignment horizontal="left" vertical="center"/>
    </xf>
    <xf numFmtId="0" fontId="0" fillId="3" borderId="0" xfId="0" applyFill="1"/>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2" borderId="0" xfId="0" applyFill="1"/>
    <xf numFmtId="0" fontId="0" fillId="2" borderId="0" xfId="0" applyFill="1"/>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17" fillId="4" borderId="1" xfId="0" applyFont="1" applyFill="1" applyBorder="1" applyAlignment="1">
      <alignment horizontal="center" vertical="center"/>
    </xf>
    <xf numFmtId="0" fontId="7" fillId="7" borderId="2" xfId="0" applyFont="1" applyFill="1" applyBorder="1" applyAlignment="1">
      <alignment horizontal="left" vertical="center" wrapText="1"/>
    </xf>
    <xf numFmtId="0" fontId="11" fillId="10" borderId="5" xfId="0" applyFont="1" applyFill="1" applyBorder="1" applyAlignment="1">
      <alignment horizontal="left" vertical="center" wrapText="1"/>
    </xf>
    <xf numFmtId="0" fontId="14" fillId="12" borderId="6" xfId="0" applyFont="1" applyFill="1" applyBorder="1" applyAlignment="1">
      <alignment horizontal="left" vertical="center" wrapText="1"/>
    </xf>
    <xf numFmtId="0" fontId="26" fillId="4" borderId="1" xfId="0" applyFont="1" applyFill="1" applyBorder="1" applyAlignment="1">
      <alignment horizontal="center" vertical="center"/>
    </xf>
    <xf numFmtId="0" fontId="10" fillId="8" borderId="3" xfId="0" applyFont="1" applyFill="1" applyBorder="1" applyAlignment="1">
      <alignment horizontal="left" vertical="center" wrapText="1"/>
    </xf>
    <xf numFmtId="0" fontId="29" fillId="7" borderId="2" xfId="0" applyFont="1" applyFill="1" applyBorder="1" applyAlignment="1">
      <alignment horizontal="left" vertical="center" wrapText="1"/>
    </xf>
    <xf numFmtId="0" fontId="30" fillId="8" borderId="3" xfId="0" applyFont="1" applyFill="1" applyBorder="1" applyAlignment="1">
      <alignment horizontal="center" vertical="center" wrapText="1"/>
    </xf>
    <xf numFmtId="0" fontId="32" fillId="10" borderId="5" xfId="0" applyFont="1" applyFill="1" applyBorder="1" applyAlignment="1">
      <alignment horizontal="left" vertical="center" wrapText="1"/>
    </xf>
    <xf numFmtId="0" fontId="22" fillId="14" borderId="7" xfId="0" applyFont="1" applyFill="1" applyBorder="1" applyAlignment="1">
      <alignment horizontal="left" vertical="center" wrapText="1"/>
    </xf>
    <xf numFmtId="0" fontId="34" fillId="14" borderId="7" xfId="0" applyFont="1" applyFill="1" applyBorder="1" applyAlignment="1">
      <alignment horizontal="left" vertical="center" wrapText="1"/>
    </xf>
    <xf numFmtId="0" fontId="36" fillId="12" borderId="6" xfId="0" applyFont="1" applyFill="1" applyBorder="1" applyAlignment="1">
      <alignment horizontal="left" vertical="center" wrapText="1"/>
    </xf>
    <xf numFmtId="0" fontId="9" fillId="7" borderId="2" xfId="0" applyFont="1" applyFill="1" applyBorder="1" applyAlignment="1">
      <alignment horizontal="center" vertical="center" wrapText="1"/>
    </xf>
    <xf numFmtId="0" fontId="37" fillId="8" borderId="3" xfId="0" applyFont="1" applyFill="1" applyBorder="1" applyAlignment="1">
      <alignment horizontal="left" vertical="center" wrapText="1"/>
    </xf>
    <xf numFmtId="0" fontId="29" fillId="7" borderId="2" xfId="0" applyFont="1" applyFill="1" applyBorder="1" applyAlignment="1">
      <alignment horizontal="center" vertical="center" wrapText="1"/>
    </xf>
    <xf numFmtId="0" fontId="13" fillId="10" borderId="5" xfId="0" applyFont="1" applyFill="1" applyBorder="1" applyAlignment="1">
      <alignment horizontal="center" vertical="center" wrapText="1"/>
    </xf>
    <xf numFmtId="0" fontId="32" fillId="10" borderId="5" xfId="0" applyFont="1" applyFill="1" applyBorder="1" applyAlignment="1">
      <alignment horizontal="center" vertical="center" wrapText="1"/>
    </xf>
    <xf numFmtId="0" fontId="16" fillId="12" borderId="6" xfId="0" applyFont="1" applyFill="1" applyBorder="1" applyAlignment="1">
      <alignment horizontal="center" vertical="center" wrapText="1"/>
    </xf>
    <xf numFmtId="0" fontId="36" fillId="12" borderId="6" xfId="0" applyFont="1" applyFill="1" applyBorder="1" applyAlignment="1">
      <alignment horizontal="center" vertical="center" wrapText="1"/>
    </xf>
    <xf numFmtId="0" fontId="18" fillId="9" borderId="5" xfId="0" applyFont="1" applyFill="1" applyBorder="1" applyAlignment="1">
      <alignment horizontal="center" vertical="center" wrapText="1"/>
    </xf>
    <xf numFmtId="0" fontId="42" fillId="8" borderId="3" xfId="0" applyFont="1" applyFill="1" applyBorder="1" applyAlignment="1">
      <alignment horizontal="left" vertical="center" wrapText="1"/>
    </xf>
    <xf numFmtId="0" fontId="18" fillId="6" borderId="2" xfId="0" applyFont="1" applyFill="1" applyBorder="1" applyAlignment="1">
      <alignment horizontal="center" vertical="center" wrapText="1"/>
    </xf>
    <xf numFmtId="0" fontId="18" fillId="13" borderId="7" xfId="0" applyFont="1" applyFill="1" applyBorder="1" applyAlignment="1">
      <alignment horizontal="center" vertical="center" wrapText="1"/>
    </xf>
    <xf numFmtId="0" fontId="34" fillId="14" borderId="7" xfId="0" applyFont="1" applyFill="1" applyBorder="1" applyAlignment="1">
      <alignment horizontal="center" vertical="center" wrapText="1"/>
    </xf>
    <xf numFmtId="0" fontId="18" fillId="11" borderId="6" xfId="0" applyFont="1" applyFill="1" applyBorder="1" applyAlignment="1">
      <alignment horizontal="center" vertical="center" wrapText="1"/>
    </xf>
    <xf numFmtId="0" fontId="43" fillId="8" borderId="3" xfId="0" applyFont="1" applyFill="1" applyBorder="1" applyAlignment="1">
      <alignment horizontal="left" vertical="center"/>
    </xf>
    <xf numFmtId="0" fontId="44" fillId="7" borderId="2" xfId="0" applyFont="1" applyFill="1" applyBorder="1" applyAlignment="1">
      <alignment horizontal="center" vertical="center"/>
    </xf>
    <xf numFmtId="0" fontId="45" fillId="10" borderId="5" xfId="0" applyFont="1" applyFill="1" applyBorder="1" applyAlignment="1">
      <alignment horizontal="center" vertical="center"/>
    </xf>
    <xf numFmtId="0" fontId="46" fillId="12" borderId="6" xfId="0" applyFont="1" applyFill="1" applyBorder="1" applyAlignment="1">
      <alignment horizontal="center" vertical="center"/>
    </xf>
    <xf numFmtId="0" fontId="47" fillId="14" borderId="7" xfId="0" applyFont="1" applyFill="1" applyBorder="1" applyAlignment="1">
      <alignment horizontal="center" vertical="center"/>
    </xf>
    <xf numFmtId="0" fontId="26" fillId="4" borderId="13" xfId="0" applyFont="1" applyFill="1" applyBorder="1" applyAlignment="1">
      <alignment horizontal="left" vertical="center"/>
    </xf>
    <xf numFmtId="0" fontId="48" fillId="4" borderId="13" xfId="0" applyFont="1" applyFill="1" applyBorder="1" applyAlignment="1">
      <alignment horizontal="center" vertical="center"/>
    </xf>
    <xf numFmtId="0" fontId="28" fillId="7" borderId="8" xfId="0" applyFont="1" applyFill="1" applyBorder="1" applyAlignment="1">
      <alignment horizontal="center" vertical="center"/>
    </xf>
    <xf numFmtId="0" fontId="0" fillId="15" borderId="0" xfId="0" applyFill="1"/>
    <xf numFmtId="0" fontId="27" fillId="9" borderId="9" xfId="0" applyFont="1" applyFill="1" applyBorder="1" applyAlignment="1">
      <alignment horizontal="center" vertical="center" wrapText="1"/>
    </xf>
    <xf numFmtId="0" fontId="31" fillId="10" borderId="9" xfId="0" applyFont="1" applyFill="1" applyBorder="1" applyAlignment="1">
      <alignment horizontal="center" vertical="center"/>
    </xf>
    <xf numFmtId="0" fontId="27" fillId="13" borderId="10" xfId="0" applyFont="1" applyFill="1" applyBorder="1" applyAlignment="1">
      <alignment horizontal="center" vertical="center" wrapText="1"/>
    </xf>
    <xf numFmtId="0" fontId="33" fillId="14" borderId="10" xfId="0" applyFont="1" applyFill="1" applyBorder="1" applyAlignment="1">
      <alignment horizontal="center" vertical="center"/>
    </xf>
    <xf numFmtId="0" fontId="27" fillId="11" borderId="11" xfId="0" applyFont="1" applyFill="1" applyBorder="1" applyAlignment="1">
      <alignment horizontal="center" vertical="center" wrapText="1"/>
    </xf>
    <xf numFmtId="0" fontId="35" fillId="12" borderId="11" xfId="0" applyFont="1" applyFill="1" applyBorder="1" applyAlignment="1">
      <alignment horizontal="center" vertical="center"/>
    </xf>
    <xf numFmtId="0" fontId="5" fillId="6" borderId="8" xfId="0" applyFont="1" applyFill="1" applyBorder="1" applyAlignment="1">
      <alignment horizontal="center" vertical="center" wrapText="1"/>
    </xf>
    <xf numFmtId="0" fontId="5" fillId="9" borderId="9" xfId="0" applyFont="1" applyFill="1" applyBorder="1" applyAlignment="1">
      <alignment horizontal="center" vertical="center" wrapText="1"/>
    </xf>
    <xf numFmtId="0" fontId="5" fillId="11" borderId="11" xfId="0" applyFont="1" applyFill="1" applyBorder="1" applyAlignment="1">
      <alignment horizontal="center" vertical="center" wrapText="1"/>
    </xf>
    <xf numFmtId="0" fontId="41" fillId="5" borderId="12" xfId="0" applyFont="1" applyFill="1" applyBorder="1" applyAlignment="1">
      <alignment horizontal="center" vertical="center"/>
    </xf>
    <xf numFmtId="0" fontId="6" fillId="6" borderId="14" xfId="0" applyFont="1" applyFill="1" applyBorder="1" applyAlignment="1">
      <alignment horizontal="center" vertical="center"/>
    </xf>
    <xf numFmtId="0" fontId="7" fillId="7" borderId="14" xfId="0" applyFont="1" applyFill="1" applyBorder="1" applyAlignment="1">
      <alignment horizontal="left" vertical="center"/>
    </xf>
    <xf numFmtId="0" fontId="8" fillId="7" borderId="14" xfId="0" applyFont="1" applyFill="1" applyBorder="1" applyAlignment="1">
      <alignment horizontal="left" vertical="center"/>
    </xf>
    <xf numFmtId="0" fontId="9" fillId="7" borderId="14" xfId="0" applyFont="1" applyFill="1" applyBorder="1" applyAlignment="1">
      <alignment horizontal="center" vertical="center"/>
    </xf>
    <xf numFmtId="0" fontId="10" fillId="8" borderId="14" xfId="0" applyFont="1" applyFill="1" applyBorder="1" applyAlignment="1">
      <alignment horizontal="left" vertical="center" wrapText="1"/>
    </xf>
    <xf numFmtId="0" fontId="6" fillId="9" borderId="14" xfId="0" applyFont="1" applyFill="1" applyBorder="1" applyAlignment="1">
      <alignment horizontal="center" vertical="center"/>
    </xf>
    <xf numFmtId="0" fontId="11" fillId="10" borderId="14" xfId="0" applyFont="1" applyFill="1" applyBorder="1" applyAlignment="1">
      <alignment horizontal="left" vertical="center"/>
    </xf>
    <xf numFmtId="0" fontId="12" fillId="10" borderId="14" xfId="0" applyFont="1" applyFill="1" applyBorder="1" applyAlignment="1">
      <alignment horizontal="left" vertical="center"/>
    </xf>
    <xf numFmtId="0" fontId="13" fillId="10" borderId="14" xfId="0" applyFont="1" applyFill="1" applyBorder="1" applyAlignment="1">
      <alignment horizontal="center" vertical="center"/>
    </xf>
    <xf numFmtId="0" fontId="6" fillId="11" borderId="14" xfId="0" applyFont="1" applyFill="1" applyBorder="1" applyAlignment="1">
      <alignment horizontal="center" vertical="center"/>
    </xf>
    <xf numFmtId="0" fontId="14" fillId="12" borderId="14" xfId="0" applyFont="1" applyFill="1" applyBorder="1" applyAlignment="1">
      <alignment horizontal="left" vertical="center"/>
    </xf>
    <xf numFmtId="0" fontId="15" fillId="12" borderId="14" xfId="0" applyFont="1" applyFill="1" applyBorder="1" applyAlignment="1">
      <alignment horizontal="left" vertical="center"/>
    </xf>
    <xf numFmtId="0" fontId="16" fillId="12" borderId="14" xfId="0" applyFont="1" applyFill="1" applyBorder="1" applyAlignment="1">
      <alignment horizontal="center" vertical="center"/>
    </xf>
    <xf numFmtId="0" fontId="17" fillId="4" borderId="15" xfId="0" applyFont="1" applyFill="1" applyBorder="1" applyAlignment="1">
      <alignment horizontal="center" vertical="center"/>
    </xf>
    <xf numFmtId="0" fontId="18" fillId="6" borderId="14" xfId="0" applyFont="1" applyFill="1" applyBorder="1" applyAlignment="1">
      <alignment horizontal="center" vertical="center"/>
    </xf>
    <xf numFmtId="0" fontId="19" fillId="7" borderId="14" xfId="0" applyFont="1" applyFill="1" applyBorder="1" applyAlignment="1">
      <alignment horizontal="center" vertical="center"/>
    </xf>
    <xf numFmtId="0" fontId="7" fillId="7" borderId="14" xfId="0" applyFont="1" applyFill="1" applyBorder="1" applyAlignment="1">
      <alignment horizontal="center" vertical="center"/>
    </xf>
    <xf numFmtId="0" fontId="18" fillId="9" borderId="14" xfId="0" applyFont="1" applyFill="1" applyBorder="1" applyAlignment="1">
      <alignment horizontal="center" vertical="center"/>
    </xf>
    <xf numFmtId="0" fontId="20" fillId="10" borderId="14" xfId="0" applyFont="1" applyFill="1" applyBorder="1" applyAlignment="1">
      <alignment horizontal="center" vertical="center"/>
    </xf>
    <xf numFmtId="0" fontId="11" fillId="10" borderId="14" xfId="0" applyFont="1" applyFill="1" applyBorder="1" applyAlignment="1">
      <alignment horizontal="center" vertical="center"/>
    </xf>
    <xf numFmtId="0" fontId="18" fillId="13" borderId="14" xfId="0" applyFont="1" applyFill="1" applyBorder="1" applyAlignment="1">
      <alignment horizontal="center" vertical="center"/>
    </xf>
    <xf numFmtId="0" fontId="21" fillId="14" borderId="14" xfId="0" applyFont="1" applyFill="1" applyBorder="1" applyAlignment="1">
      <alignment horizontal="center" vertical="center"/>
    </xf>
    <xf numFmtId="0" fontId="22" fillId="14" borderId="14" xfId="0" applyFont="1" applyFill="1" applyBorder="1" applyAlignment="1">
      <alignment horizontal="center" vertical="center"/>
    </xf>
    <xf numFmtId="0" fontId="18" fillId="11" borderId="14" xfId="0" applyFont="1" applyFill="1" applyBorder="1" applyAlignment="1">
      <alignment horizontal="center" vertical="center"/>
    </xf>
    <xf numFmtId="0" fontId="23" fillId="12" borderId="14" xfId="0" applyFont="1" applyFill="1" applyBorder="1" applyAlignment="1">
      <alignment horizontal="center" vertical="center"/>
    </xf>
    <xf numFmtId="0" fontId="14" fillId="12" borderId="14" xfId="0" applyFont="1" applyFill="1" applyBorder="1" applyAlignment="1">
      <alignment horizontal="center" vertical="center"/>
    </xf>
    <xf numFmtId="0" fontId="24" fillId="6" borderId="14" xfId="0" applyFont="1" applyFill="1" applyBorder="1" applyAlignment="1">
      <alignment horizontal="center" vertical="center"/>
    </xf>
    <xf numFmtId="0" fontId="7" fillId="7" borderId="14" xfId="0" applyFont="1" applyFill="1" applyBorder="1" applyAlignment="1">
      <alignment horizontal="left" vertical="center" wrapText="1"/>
    </xf>
    <xf numFmtId="0" fontId="24" fillId="9" borderId="14" xfId="0" applyFont="1" applyFill="1" applyBorder="1" applyAlignment="1">
      <alignment horizontal="center" vertical="center"/>
    </xf>
    <xf numFmtId="0" fontId="11" fillId="10" borderId="14" xfId="0" applyFont="1" applyFill="1" applyBorder="1" applyAlignment="1">
      <alignment horizontal="left" vertical="center" wrapText="1"/>
    </xf>
    <xf numFmtId="0" fontId="24" fillId="11" borderId="14" xfId="0" applyFont="1" applyFill="1" applyBorder="1" applyAlignment="1">
      <alignment horizontal="center" vertical="center"/>
    </xf>
    <xf numFmtId="0" fontId="14" fillId="12" borderId="14" xfId="0" applyFont="1" applyFill="1" applyBorder="1" applyAlignment="1">
      <alignment horizontal="left" vertical="center" wrapText="1"/>
    </xf>
    <xf numFmtId="0" fontId="49" fillId="7" borderId="2" xfId="0" applyFont="1" applyFill="1" applyBorder="1" applyAlignment="1">
      <alignment horizontal="left" vertical="center" wrapText="1"/>
    </xf>
    <xf numFmtId="0" fontId="50" fillId="10" borderId="5" xfId="0" applyFont="1" applyFill="1" applyBorder="1" applyAlignment="1">
      <alignment horizontal="left" vertical="center" wrapText="1"/>
    </xf>
    <xf numFmtId="0" fontId="51" fillId="14" borderId="7" xfId="0" applyFont="1" applyFill="1" applyBorder="1" applyAlignment="1">
      <alignment horizontal="left" vertical="center" wrapText="1"/>
    </xf>
    <xf numFmtId="0" fontId="52" fillId="12" borderId="6" xfId="0" applyFont="1" applyFill="1" applyBorder="1" applyAlignment="1">
      <alignment horizontal="left" vertical="center" wrapText="1"/>
    </xf>
    <xf numFmtId="0" fontId="53" fillId="8" borderId="3" xfId="0" applyFont="1" applyFill="1" applyBorder="1" applyAlignment="1">
      <alignment horizontal="left" vertical="center" wrapText="1"/>
    </xf>
    <xf numFmtId="0" fontId="0" fillId="0" borderId="14" xfId="0" applyBorder="1"/>
    <xf numFmtId="0" fontId="40" fillId="12" borderId="6" xfId="0" applyFont="1" applyFill="1" applyBorder="1" applyAlignment="1">
      <alignment horizontal="center" vertical="center" wrapText="1"/>
    </xf>
    <xf numFmtId="0" fontId="39" fillId="10" borderId="5" xfId="0" applyFont="1" applyFill="1" applyBorder="1" applyAlignment="1">
      <alignment horizontal="center" vertical="center" wrapText="1"/>
    </xf>
    <xf numFmtId="0" fontId="38" fillId="7" borderId="2" xfId="0" applyFont="1" applyFill="1" applyBorder="1" applyAlignment="1">
      <alignment horizontal="center" vertical="center" wrapText="1"/>
    </xf>
    <xf numFmtId="0" fontId="30" fillId="8"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D28D9"/>
      <rgbColor rgb="FF059669"/>
      <rgbColor rgb="FFC8A96E"/>
      <rgbColor rgb="FF808080"/>
      <rgbColor rgb="FF9999FF"/>
      <rgbColor rgb="FF993366"/>
      <rgbColor rgb="FFFEF3C7"/>
      <rgbColor rgb="FFDBEAFE"/>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DE9FE"/>
      <rgbColor rgb="FFD6F0E3"/>
      <rgbColor rgb="FFF5EDD8"/>
      <rgbColor rgb="FF99CCFF"/>
      <rgbColor rgb="FFFF99CC"/>
      <rgbColor rgb="FFCC99FF"/>
      <rgbColor rgb="FFF5F1EB"/>
      <rgbColor rgb="FF3366FF"/>
      <rgbColor rgb="FF33CCCC"/>
      <rgbColor rgb="FF99CC00"/>
      <rgbColor rgb="FFFFCC00"/>
      <rgbColor rgb="FFFF9900"/>
      <rgbColor rgb="FFD97706"/>
      <rgbColor rgb="FF6B7280"/>
      <rgbColor rgb="FF969696"/>
      <rgbColor rgb="FF2D3561"/>
      <rgbColor rgb="FF339966"/>
      <rgbColor rgb="FF003300"/>
      <rgbColor rgb="FF1A1A2E"/>
      <rgbColor rgb="FF993300"/>
      <rgbColor rgb="FF993366"/>
      <rgbColor rgb="FF1E40AF"/>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9"/>
  <sheetViews>
    <sheetView showGridLines="0" zoomScaleNormal="100" workbookViewId="0">
      <pane ySplit="5" topLeftCell="A9" activePane="bottomLeft" state="frozen"/>
      <selection pane="bottomLeft" activeCell="K28" sqref="K28"/>
    </sheetView>
  </sheetViews>
  <sheetFormatPr defaultColWidth="8.7109375" defaultRowHeight="15" x14ac:dyDescent="0.25"/>
  <cols>
    <col min="1" max="1" width="2" customWidth="1"/>
    <col min="2" max="2" width="22" customWidth="1"/>
    <col min="3" max="4" width="18" customWidth="1"/>
    <col min="5" max="5" width="44.28515625" customWidth="1"/>
    <col min="6" max="6" width="18" customWidth="1"/>
    <col min="7" max="7" width="20.85546875" customWidth="1"/>
    <col min="8" max="8" width="18" customWidth="1"/>
    <col min="9" max="9" width="2" customWidth="1"/>
  </cols>
  <sheetData>
    <row r="1" spans="1:9" ht="7.5" customHeight="1" x14ac:dyDescent="0.25">
      <c r="A1" s="7"/>
      <c r="B1" s="7"/>
      <c r="C1" s="7"/>
      <c r="D1" s="7"/>
      <c r="E1" s="7"/>
      <c r="F1" s="7"/>
      <c r="G1" s="7"/>
      <c r="H1" s="7"/>
      <c r="I1" s="7"/>
    </row>
    <row r="2" spans="1:9" ht="45" customHeight="1" x14ac:dyDescent="0.25">
      <c r="A2" s="8"/>
      <c r="B2" s="6" t="s">
        <v>0</v>
      </c>
      <c r="C2" s="6"/>
      <c r="D2" s="6"/>
      <c r="E2" s="6"/>
      <c r="F2" s="6"/>
      <c r="G2" s="6"/>
      <c r="H2" s="6"/>
      <c r="I2" s="8"/>
    </row>
    <row r="3" spans="1:9" ht="9.75" customHeight="1" x14ac:dyDescent="0.25">
      <c r="A3" s="7"/>
      <c r="B3" s="7"/>
      <c r="C3" s="7"/>
      <c r="D3" s="7"/>
      <c r="E3" s="7"/>
      <c r="F3" s="7"/>
      <c r="G3" s="7"/>
      <c r="H3" s="7"/>
      <c r="I3" s="7"/>
    </row>
    <row r="4" spans="1:9" ht="27.75" customHeight="1" x14ac:dyDescent="0.25">
      <c r="A4" s="8"/>
      <c r="B4" s="5" t="s">
        <v>1</v>
      </c>
      <c r="C4" s="5"/>
      <c r="D4" s="5"/>
      <c r="E4" s="5"/>
      <c r="F4" s="5"/>
      <c r="G4" s="5"/>
      <c r="H4" s="5"/>
      <c r="I4" s="8"/>
    </row>
    <row r="5" spans="1:9" ht="7.5" customHeight="1" x14ac:dyDescent="0.25">
      <c r="A5" s="4"/>
      <c r="B5" s="4"/>
      <c r="C5" s="4"/>
      <c r="D5" s="4"/>
      <c r="E5" s="4"/>
      <c r="F5" s="4"/>
      <c r="G5" s="4"/>
      <c r="H5" s="4"/>
      <c r="I5" s="4"/>
    </row>
    <row r="6" spans="1:9" ht="19.5" customHeight="1" x14ac:dyDescent="0.25">
      <c r="B6" s="9" t="s">
        <v>2</v>
      </c>
      <c r="C6" s="9" t="s">
        <v>3</v>
      </c>
      <c r="D6" s="9" t="s">
        <v>4</v>
      </c>
      <c r="E6" s="9" t="s">
        <v>5</v>
      </c>
      <c r="F6" s="9" t="s">
        <v>6</v>
      </c>
      <c r="G6" s="9" t="s">
        <v>7</v>
      </c>
    </row>
    <row r="7" spans="1:9" ht="21.75" customHeight="1" x14ac:dyDescent="0.25">
      <c r="B7" s="10" t="s">
        <v>8</v>
      </c>
      <c r="C7" s="10" t="s">
        <v>9</v>
      </c>
      <c r="D7" s="10" t="s">
        <v>10</v>
      </c>
      <c r="E7" s="10" t="s">
        <v>11</v>
      </c>
      <c r="F7" s="10" t="s">
        <v>12</v>
      </c>
      <c r="G7" s="10" t="s">
        <v>13</v>
      </c>
    </row>
    <row r="8" spans="1:9" ht="9.75" customHeight="1" x14ac:dyDescent="0.25"/>
    <row r="9" spans="1:9" ht="25.5" customHeight="1" x14ac:dyDescent="0.25">
      <c r="B9" s="3" t="s">
        <v>14</v>
      </c>
      <c r="C9" s="3"/>
      <c r="D9" s="3"/>
      <c r="E9" s="3"/>
      <c r="F9" s="3"/>
      <c r="G9" s="3"/>
      <c r="H9" s="3"/>
    </row>
    <row r="10" spans="1:9" ht="19.5" customHeight="1" x14ac:dyDescent="0.25">
      <c r="B10" s="55" t="s">
        <v>15</v>
      </c>
      <c r="C10" s="56" t="s">
        <v>16</v>
      </c>
      <c r="D10" s="56"/>
      <c r="E10" s="57" t="s">
        <v>17</v>
      </c>
      <c r="F10" s="57"/>
      <c r="G10" s="57"/>
      <c r="H10" s="57"/>
    </row>
    <row r="11" spans="1:9" ht="29.25" customHeight="1" x14ac:dyDescent="0.25">
      <c r="B11" s="58" t="s">
        <v>18</v>
      </c>
      <c r="C11" s="59" t="s">
        <v>19</v>
      </c>
      <c r="D11" s="59"/>
      <c r="E11" s="59"/>
      <c r="F11" s="59"/>
      <c r="G11" s="59"/>
      <c r="H11" s="59"/>
    </row>
    <row r="12" spans="1:9" ht="27" customHeight="1" x14ac:dyDescent="0.25">
      <c r="B12" s="58" t="s">
        <v>18</v>
      </c>
      <c r="C12" s="59" t="s">
        <v>20</v>
      </c>
      <c r="D12" s="59"/>
      <c r="E12" s="59"/>
      <c r="F12" s="59"/>
      <c r="G12" s="59"/>
      <c r="H12" s="59"/>
    </row>
    <row r="13" spans="1:9" ht="26.25" customHeight="1" x14ac:dyDescent="0.25">
      <c r="B13" s="58" t="s">
        <v>18</v>
      </c>
      <c r="C13" s="59" t="s">
        <v>21</v>
      </c>
      <c r="D13" s="59"/>
      <c r="E13" s="59"/>
      <c r="F13" s="59"/>
      <c r="G13" s="59"/>
      <c r="H13" s="59"/>
    </row>
    <row r="14" spans="1:9" ht="19.5" customHeight="1" x14ac:dyDescent="0.25">
      <c r="B14" s="60" t="s">
        <v>22</v>
      </c>
      <c r="C14" s="61" t="s">
        <v>23</v>
      </c>
      <c r="D14" s="61"/>
      <c r="E14" s="62" t="s">
        <v>24</v>
      </c>
      <c r="F14" s="62"/>
      <c r="G14" s="62"/>
      <c r="H14" s="62"/>
    </row>
    <row r="15" spans="1:9" ht="24.75" customHeight="1" x14ac:dyDescent="0.25">
      <c r="B15" s="63" t="s">
        <v>18</v>
      </c>
      <c r="C15" s="59" t="s">
        <v>25</v>
      </c>
      <c r="D15" s="59"/>
      <c r="E15" s="59"/>
      <c r="F15" s="59"/>
      <c r="G15" s="59"/>
      <c r="H15" s="59"/>
    </row>
    <row r="16" spans="1:9" ht="28.5" customHeight="1" x14ac:dyDescent="0.25">
      <c r="B16" s="63" t="s">
        <v>18</v>
      </c>
      <c r="C16" s="59" t="s">
        <v>26</v>
      </c>
      <c r="D16" s="59"/>
      <c r="E16" s="59"/>
      <c r="F16" s="59"/>
      <c r="G16" s="59"/>
      <c r="H16" s="59"/>
    </row>
    <row r="17" spans="2:8" ht="25.5" customHeight="1" x14ac:dyDescent="0.25">
      <c r="B17" s="63" t="s">
        <v>18</v>
      </c>
      <c r="C17" s="59" t="s">
        <v>27</v>
      </c>
      <c r="D17" s="59"/>
      <c r="E17" s="59"/>
      <c r="F17" s="59"/>
      <c r="G17" s="59"/>
      <c r="H17" s="59"/>
    </row>
    <row r="18" spans="2:8" ht="19.5" customHeight="1" x14ac:dyDescent="0.25">
      <c r="B18" s="64" t="s">
        <v>28</v>
      </c>
      <c r="C18" s="65" t="s">
        <v>29</v>
      </c>
      <c r="D18" s="65"/>
      <c r="E18" s="66" t="s">
        <v>30</v>
      </c>
      <c r="F18" s="66"/>
      <c r="G18" s="66"/>
      <c r="H18" s="66"/>
    </row>
    <row r="19" spans="2:8" ht="22.5" customHeight="1" x14ac:dyDescent="0.25">
      <c r="B19" s="67" t="s">
        <v>18</v>
      </c>
      <c r="C19" s="59" t="s">
        <v>31</v>
      </c>
      <c r="D19" s="59"/>
      <c r="E19" s="59"/>
      <c r="F19" s="59"/>
      <c r="G19" s="59"/>
      <c r="H19" s="59"/>
    </row>
    <row r="20" spans="2:8" ht="26.25" customHeight="1" x14ac:dyDescent="0.25">
      <c r="B20" s="67" t="s">
        <v>18</v>
      </c>
      <c r="C20" s="59" t="s">
        <v>32</v>
      </c>
      <c r="D20" s="59"/>
      <c r="E20" s="59"/>
      <c r="F20" s="59"/>
      <c r="G20" s="59"/>
      <c r="H20" s="59"/>
    </row>
    <row r="21" spans="2:8" ht="24" customHeight="1" x14ac:dyDescent="0.25">
      <c r="B21" s="67" t="s">
        <v>18</v>
      </c>
      <c r="C21" s="59" t="s">
        <v>33</v>
      </c>
      <c r="D21" s="59"/>
      <c r="E21" s="59"/>
      <c r="F21" s="59"/>
      <c r="G21" s="59"/>
      <c r="H21" s="59"/>
    </row>
    <row r="22" spans="2:8" ht="9.75" customHeight="1" x14ac:dyDescent="0.25"/>
    <row r="23" spans="2:8" ht="25.5" customHeight="1" x14ac:dyDescent="0.25">
      <c r="B23" s="3" t="s">
        <v>34</v>
      </c>
      <c r="C23" s="3"/>
      <c r="D23" s="3"/>
      <c r="E23" s="3"/>
      <c r="F23" s="3"/>
      <c r="G23" s="3"/>
      <c r="H23" s="3"/>
    </row>
    <row r="24" spans="2:8" ht="19.5" customHeight="1" x14ac:dyDescent="0.25">
      <c r="B24" s="68" t="s">
        <v>35</v>
      </c>
      <c r="C24" s="68" t="s">
        <v>36</v>
      </c>
      <c r="D24" s="68" t="s">
        <v>37</v>
      </c>
      <c r="E24" s="68" t="s">
        <v>38</v>
      </c>
    </row>
    <row r="25" spans="2:8" ht="39.75" customHeight="1" x14ac:dyDescent="0.25">
      <c r="B25" s="69" t="s">
        <v>39</v>
      </c>
      <c r="C25" s="70" t="s">
        <v>40</v>
      </c>
      <c r="D25" s="71" t="s">
        <v>41</v>
      </c>
      <c r="E25" s="59" t="s">
        <v>42</v>
      </c>
      <c r="F25" s="59"/>
      <c r="G25" s="59"/>
      <c r="H25" s="59"/>
    </row>
    <row r="26" spans="2:8" ht="39.75" customHeight="1" x14ac:dyDescent="0.25">
      <c r="B26" s="72" t="s">
        <v>43</v>
      </c>
      <c r="C26" s="73" t="s">
        <v>44</v>
      </c>
      <c r="D26" s="74" t="s">
        <v>45</v>
      </c>
      <c r="E26" s="59" t="s">
        <v>46</v>
      </c>
      <c r="F26" s="59"/>
      <c r="G26" s="59"/>
      <c r="H26" s="59"/>
    </row>
    <row r="27" spans="2:8" ht="39.75" customHeight="1" x14ac:dyDescent="0.25">
      <c r="B27" s="75" t="s">
        <v>47</v>
      </c>
      <c r="C27" s="76" t="s">
        <v>48</v>
      </c>
      <c r="D27" s="77" t="s">
        <v>49</v>
      </c>
      <c r="E27" s="59" t="s">
        <v>50</v>
      </c>
      <c r="F27" s="59"/>
      <c r="G27" s="59"/>
      <c r="H27" s="59"/>
    </row>
    <row r="28" spans="2:8" ht="39.75" customHeight="1" x14ac:dyDescent="0.25">
      <c r="B28" s="78" t="s">
        <v>51</v>
      </c>
      <c r="C28" s="79" t="s">
        <v>52</v>
      </c>
      <c r="D28" s="80" t="s">
        <v>53</v>
      </c>
      <c r="E28" s="59" t="s">
        <v>54</v>
      </c>
      <c r="F28" s="59"/>
      <c r="G28" s="59"/>
      <c r="H28" s="59"/>
    </row>
    <row r="29" spans="2:8" ht="9.75" customHeight="1" x14ac:dyDescent="0.25"/>
    <row r="30" spans="2:8" ht="25.5" customHeight="1" x14ac:dyDescent="0.25">
      <c r="B30" s="3" t="s">
        <v>55</v>
      </c>
      <c r="C30" s="3"/>
      <c r="D30" s="3"/>
      <c r="E30" s="3"/>
      <c r="F30" s="3"/>
      <c r="G30" s="3"/>
      <c r="H30" s="3"/>
    </row>
    <row r="31" spans="2:8" ht="39.75" customHeight="1" x14ac:dyDescent="0.25">
      <c r="B31" s="81" t="s">
        <v>56</v>
      </c>
      <c r="C31" s="82" t="s">
        <v>57</v>
      </c>
      <c r="D31" s="59" t="s">
        <v>58</v>
      </c>
      <c r="E31" s="59"/>
      <c r="F31" s="59"/>
      <c r="G31" s="59"/>
      <c r="H31" s="59"/>
    </row>
    <row r="32" spans="2:8" ht="39.75" customHeight="1" x14ac:dyDescent="0.25">
      <c r="B32" s="83" t="s">
        <v>59</v>
      </c>
      <c r="C32" s="84" t="s">
        <v>60</v>
      </c>
      <c r="D32" s="59" t="s">
        <v>61</v>
      </c>
      <c r="E32" s="59"/>
      <c r="F32" s="59"/>
      <c r="G32" s="59"/>
      <c r="H32" s="59"/>
    </row>
    <row r="33" spans="1:9" ht="39.75" customHeight="1" x14ac:dyDescent="0.25">
      <c r="B33" s="85" t="s">
        <v>62</v>
      </c>
      <c r="C33" s="86" t="s">
        <v>63</v>
      </c>
      <c r="D33" s="59" t="s">
        <v>64</v>
      </c>
      <c r="E33" s="59"/>
      <c r="F33" s="59"/>
      <c r="G33" s="59"/>
      <c r="H33" s="59"/>
    </row>
    <row r="34" spans="1:9" ht="3.75" customHeight="1" x14ac:dyDescent="0.25">
      <c r="A34" s="4"/>
      <c r="B34" s="4"/>
      <c r="C34" s="4"/>
      <c r="D34" s="4"/>
      <c r="E34" s="4"/>
      <c r="F34" s="4"/>
      <c r="G34" s="4"/>
      <c r="H34" s="4"/>
      <c r="I34" s="4"/>
    </row>
    <row r="35" spans="1:9" ht="19.5" customHeight="1" x14ac:dyDescent="0.25"/>
    <row r="36" spans="1:9" ht="19.5" customHeight="1" x14ac:dyDescent="0.25"/>
    <row r="37" spans="1:9" ht="19.5" customHeight="1" x14ac:dyDescent="0.25"/>
    <row r="38" spans="1:9" ht="19.5" customHeight="1" x14ac:dyDescent="0.25"/>
    <row r="39" spans="1:9" ht="19.5" customHeight="1" x14ac:dyDescent="0.25"/>
    <row r="40" spans="1:9" ht="19.5" customHeight="1" x14ac:dyDescent="0.25"/>
    <row r="41" spans="1:9" ht="19.5" customHeight="1" x14ac:dyDescent="0.25"/>
    <row r="42" spans="1:9" ht="19.5" customHeight="1" x14ac:dyDescent="0.25"/>
    <row r="43" spans="1:9" ht="19.5" customHeight="1" x14ac:dyDescent="0.25"/>
    <row r="44" spans="1:9" ht="19.5" customHeight="1" x14ac:dyDescent="0.25"/>
    <row r="45" spans="1:9" ht="19.5" customHeight="1" x14ac:dyDescent="0.25"/>
    <row r="46" spans="1:9" ht="19.5" customHeight="1" x14ac:dyDescent="0.25"/>
    <row r="47" spans="1:9" ht="19.5" customHeight="1" x14ac:dyDescent="0.25"/>
    <row r="48" spans="1:9"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sheetData>
  <mergeCells count="31">
    <mergeCell ref="A34:I34"/>
    <mergeCell ref="E28:H28"/>
    <mergeCell ref="B30:H30"/>
    <mergeCell ref="D31:H31"/>
    <mergeCell ref="D32:H32"/>
    <mergeCell ref="D33:H33"/>
    <mergeCell ref="C21:H21"/>
    <mergeCell ref="B23:H23"/>
    <mergeCell ref="E25:H25"/>
    <mergeCell ref="E26:H26"/>
    <mergeCell ref="E27:H27"/>
    <mergeCell ref="C17:H17"/>
    <mergeCell ref="C18:D18"/>
    <mergeCell ref="E18:H18"/>
    <mergeCell ref="C19:H19"/>
    <mergeCell ref="C20:H20"/>
    <mergeCell ref="C13:H13"/>
    <mergeCell ref="C14:D14"/>
    <mergeCell ref="E14:H14"/>
    <mergeCell ref="C15:H15"/>
    <mergeCell ref="C16:H16"/>
    <mergeCell ref="B9:H9"/>
    <mergeCell ref="C10:D10"/>
    <mergeCell ref="E10:H10"/>
    <mergeCell ref="C11:H11"/>
    <mergeCell ref="C12:H12"/>
    <mergeCell ref="A1:I1"/>
    <mergeCell ref="B2:H2"/>
    <mergeCell ref="A3:I3"/>
    <mergeCell ref="B4:H4"/>
    <mergeCell ref="A5:I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showGridLines="0" zoomScaleNormal="100" workbookViewId="0">
      <selection activeCell="J25" sqref="J25"/>
    </sheetView>
  </sheetViews>
  <sheetFormatPr defaultColWidth="8.7109375" defaultRowHeight="15" x14ac:dyDescent="0.25"/>
  <cols>
    <col min="1" max="1" width="2" customWidth="1"/>
    <col min="2" max="2" width="18.28515625" customWidth="1"/>
    <col min="3" max="3" width="10" customWidth="1"/>
    <col min="4" max="4" width="31.42578125" customWidth="1"/>
    <col min="5" max="5" width="51" customWidth="1"/>
    <col min="6" max="6" width="28" customWidth="1"/>
    <col min="7" max="7" width="27.7109375" customWidth="1"/>
    <col min="8" max="8" width="2" hidden="1" customWidth="1"/>
  </cols>
  <sheetData>
    <row r="1" spans="1:8" ht="3.75" customHeight="1" x14ac:dyDescent="0.25">
      <c r="A1" s="4"/>
      <c r="B1" s="4"/>
      <c r="C1" s="4"/>
      <c r="D1" s="4"/>
      <c r="E1" s="4"/>
      <c r="F1" s="4"/>
      <c r="G1" s="4"/>
      <c r="H1" s="4"/>
    </row>
    <row r="2" spans="1:8" ht="39.75" customHeight="1" x14ac:dyDescent="0.25">
      <c r="A2" s="8"/>
      <c r="B2" s="2" t="s">
        <v>65</v>
      </c>
      <c r="C2" s="2"/>
      <c r="D2" s="2"/>
      <c r="E2" s="2"/>
      <c r="F2" s="2"/>
      <c r="G2" s="2"/>
      <c r="H2" s="8"/>
    </row>
    <row r="3" spans="1:8" ht="6" customHeight="1" x14ac:dyDescent="0.25">
      <c r="A3" s="7"/>
      <c r="B3" s="7"/>
      <c r="C3" s="7"/>
      <c r="D3" s="7"/>
      <c r="E3" s="7"/>
      <c r="F3" s="7"/>
      <c r="G3" s="7"/>
      <c r="H3" s="7"/>
    </row>
    <row r="4" spans="1:8" ht="21.75" customHeight="1" x14ac:dyDescent="0.25">
      <c r="B4" s="15" t="s">
        <v>35</v>
      </c>
      <c r="C4" s="15" t="s">
        <v>36</v>
      </c>
      <c r="D4" s="15" t="s">
        <v>66</v>
      </c>
      <c r="E4" s="15" t="s">
        <v>67</v>
      </c>
      <c r="F4" s="15" t="s">
        <v>68</v>
      </c>
      <c r="G4" s="15" t="s">
        <v>69</v>
      </c>
    </row>
    <row r="5" spans="1:8" ht="51.75" customHeight="1" x14ac:dyDescent="0.25">
      <c r="B5" s="1" t="s">
        <v>70</v>
      </c>
      <c r="C5" s="43" t="s">
        <v>40</v>
      </c>
      <c r="D5" s="12" t="s">
        <v>71</v>
      </c>
      <c r="E5" s="16" t="s">
        <v>72</v>
      </c>
      <c r="F5" s="87" t="s">
        <v>73</v>
      </c>
      <c r="G5" s="18" t="s">
        <v>74</v>
      </c>
    </row>
    <row r="6" spans="1:8" ht="51.75" customHeight="1" x14ac:dyDescent="0.25">
      <c r="B6" s="1"/>
      <c r="C6" s="1"/>
      <c r="D6" s="12" t="s">
        <v>75</v>
      </c>
      <c r="E6" s="16" t="s">
        <v>76</v>
      </c>
      <c r="F6" s="87" t="s">
        <v>77</v>
      </c>
      <c r="G6" s="18" t="s">
        <v>78</v>
      </c>
    </row>
    <row r="7" spans="1:8" ht="51.75" customHeight="1" x14ac:dyDescent="0.25">
      <c r="B7" s="1"/>
      <c r="C7" s="1"/>
      <c r="D7" s="12" t="s">
        <v>79</v>
      </c>
      <c r="E7" s="16" t="s">
        <v>80</v>
      </c>
      <c r="F7" s="87" t="s">
        <v>81</v>
      </c>
      <c r="G7" s="18" t="s">
        <v>82</v>
      </c>
    </row>
    <row r="8" spans="1:8" ht="51.75" customHeight="1" x14ac:dyDescent="0.25">
      <c r="B8" s="1"/>
      <c r="C8" s="1"/>
      <c r="D8" s="12" t="s">
        <v>83</v>
      </c>
      <c r="E8" s="16" t="s">
        <v>84</v>
      </c>
      <c r="F8" s="87" t="s">
        <v>85</v>
      </c>
      <c r="G8" s="18" t="s">
        <v>86</v>
      </c>
    </row>
    <row r="9" spans="1:8" ht="51.75" customHeight="1" x14ac:dyDescent="0.25">
      <c r="B9" s="1"/>
      <c r="C9" s="1"/>
      <c r="D9" s="12" t="s">
        <v>87</v>
      </c>
      <c r="E9" s="16" t="s">
        <v>88</v>
      </c>
      <c r="F9" s="87" t="s">
        <v>89</v>
      </c>
      <c r="G9" s="18" t="s">
        <v>86</v>
      </c>
    </row>
    <row r="10" spans="1:8" ht="7.5" customHeight="1" x14ac:dyDescent="0.25">
      <c r="B10" s="44"/>
      <c r="C10" s="44"/>
      <c r="D10" s="44"/>
      <c r="E10" s="44"/>
      <c r="F10" s="44"/>
      <c r="G10" s="44"/>
    </row>
    <row r="11" spans="1:8" ht="51.75" customHeight="1" x14ac:dyDescent="0.25">
      <c r="B11" s="45" t="s">
        <v>90</v>
      </c>
      <c r="C11" s="46" t="s">
        <v>44</v>
      </c>
      <c r="D11" s="13" t="s">
        <v>91</v>
      </c>
      <c r="E11" s="16" t="s">
        <v>92</v>
      </c>
      <c r="F11" s="88" t="s">
        <v>93</v>
      </c>
      <c r="G11" s="18" t="s">
        <v>94</v>
      </c>
    </row>
    <row r="12" spans="1:8" ht="51.75" customHeight="1" x14ac:dyDescent="0.25">
      <c r="B12" s="45"/>
      <c r="C12" s="45"/>
      <c r="D12" s="13" t="s">
        <v>95</v>
      </c>
      <c r="E12" s="16" t="s">
        <v>96</v>
      </c>
      <c r="F12" s="88" t="s">
        <v>97</v>
      </c>
      <c r="G12" s="18" t="s">
        <v>82</v>
      </c>
    </row>
    <row r="13" spans="1:8" ht="51.75" customHeight="1" x14ac:dyDescent="0.25">
      <c r="B13" s="45"/>
      <c r="C13" s="45"/>
      <c r="D13" s="13" t="s">
        <v>98</v>
      </c>
      <c r="E13" s="16" t="s">
        <v>99</v>
      </c>
      <c r="F13" s="88" t="s">
        <v>100</v>
      </c>
      <c r="G13" s="18" t="s">
        <v>101</v>
      </c>
    </row>
    <row r="14" spans="1:8" ht="51.75" customHeight="1" x14ac:dyDescent="0.25">
      <c r="B14" s="45"/>
      <c r="C14" s="45"/>
      <c r="D14" s="13" t="s">
        <v>102</v>
      </c>
      <c r="E14" s="16" t="s">
        <v>103</v>
      </c>
      <c r="F14" s="88" t="s">
        <v>104</v>
      </c>
      <c r="G14" s="18" t="s">
        <v>74</v>
      </c>
    </row>
    <row r="15" spans="1:8" ht="51.75" customHeight="1" x14ac:dyDescent="0.25">
      <c r="B15" s="45"/>
      <c r="C15" s="45"/>
      <c r="D15" s="13" t="s">
        <v>105</v>
      </c>
      <c r="E15" s="16" t="s">
        <v>106</v>
      </c>
      <c r="F15" s="88" t="s">
        <v>107</v>
      </c>
      <c r="G15" s="18" t="s">
        <v>82</v>
      </c>
    </row>
    <row r="16" spans="1:8" ht="7.5" customHeight="1" x14ac:dyDescent="0.25">
      <c r="B16" s="44"/>
      <c r="C16" s="44"/>
      <c r="D16" s="44"/>
      <c r="E16" s="44"/>
      <c r="F16" s="44"/>
      <c r="G16" s="44"/>
    </row>
    <row r="17" spans="1:8" ht="51.75" customHeight="1" x14ac:dyDescent="0.25">
      <c r="B17" s="47" t="s">
        <v>108</v>
      </c>
      <c r="C17" s="48" t="s">
        <v>48</v>
      </c>
      <c r="D17" s="20" t="s">
        <v>109</v>
      </c>
      <c r="E17" s="16" t="s">
        <v>110</v>
      </c>
      <c r="F17" s="89" t="s">
        <v>111</v>
      </c>
      <c r="G17" s="18" t="s">
        <v>78</v>
      </c>
    </row>
    <row r="18" spans="1:8" ht="51.75" customHeight="1" x14ac:dyDescent="0.25">
      <c r="B18" s="47"/>
      <c r="C18" s="47"/>
      <c r="D18" s="20" t="s">
        <v>112</v>
      </c>
      <c r="E18" s="16" t="s">
        <v>113</v>
      </c>
      <c r="F18" s="89" t="s">
        <v>114</v>
      </c>
      <c r="G18" s="18" t="s">
        <v>78</v>
      </c>
    </row>
    <row r="19" spans="1:8" ht="51.75" customHeight="1" x14ac:dyDescent="0.25">
      <c r="B19" s="47"/>
      <c r="C19" s="47"/>
      <c r="D19" s="20" t="s">
        <v>115</v>
      </c>
      <c r="E19" s="16" t="s">
        <v>116</v>
      </c>
      <c r="F19" s="89" t="s">
        <v>117</v>
      </c>
      <c r="G19" s="18" t="s">
        <v>74</v>
      </c>
    </row>
    <row r="20" spans="1:8" ht="51.75" customHeight="1" x14ac:dyDescent="0.25">
      <c r="B20" s="47"/>
      <c r="C20" s="47"/>
      <c r="D20" s="20" t="s">
        <v>118</v>
      </c>
      <c r="E20" s="16" t="s">
        <v>119</v>
      </c>
      <c r="F20" s="89" t="s">
        <v>120</v>
      </c>
      <c r="G20" s="18" t="s">
        <v>78</v>
      </c>
    </row>
    <row r="21" spans="1:8" ht="51.75" customHeight="1" x14ac:dyDescent="0.25">
      <c r="B21" s="47"/>
      <c r="C21" s="47"/>
      <c r="D21" s="20" t="s">
        <v>121</v>
      </c>
      <c r="E21" s="16" t="s">
        <v>122</v>
      </c>
      <c r="F21" s="89" t="s">
        <v>123</v>
      </c>
      <c r="G21" s="18" t="s">
        <v>74</v>
      </c>
    </row>
    <row r="22" spans="1:8" ht="7.5" customHeight="1" x14ac:dyDescent="0.25">
      <c r="B22" s="44"/>
      <c r="C22" s="44"/>
      <c r="D22" s="44"/>
      <c r="E22" s="44"/>
      <c r="F22" s="44"/>
      <c r="G22" s="44"/>
    </row>
    <row r="23" spans="1:8" ht="51.75" customHeight="1" x14ac:dyDescent="0.25">
      <c r="B23" s="49" t="s">
        <v>124</v>
      </c>
      <c r="C23" s="50" t="s">
        <v>52</v>
      </c>
      <c r="D23" s="14" t="s">
        <v>125</v>
      </c>
      <c r="E23" s="16" t="s">
        <v>126</v>
      </c>
      <c r="F23" s="90" t="s">
        <v>127</v>
      </c>
      <c r="G23" s="18" t="s">
        <v>128</v>
      </c>
    </row>
    <row r="24" spans="1:8" ht="51.75" customHeight="1" x14ac:dyDescent="0.25">
      <c r="B24" s="49"/>
      <c r="C24" s="49"/>
      <c r="D24" s="14" t="s">
        <v>129</v>
      </c>
      <c r="E24" s="16" t="s">
        <v>130</v>
      </c>
      <c r="F24" s="90" t="s">
        <v>131</v>
      </c>
      <c r="G24" s="18" t="s">
        <v>128</v>
      </c>
    </row>
    <row r="25" spans="1:8" ht="51.75" customHeight="1" x14ac:dyDescent="0.25">
      <c r="B25" s="49"/>
      <c r="C25" s="49"/>
      <c r="D25" s="14" t="s">
        <v>132</v>
      </c>
      <c r="E25" s="16" t="s">
        <v>133</v>
      </c>
      <c r="F25" s="90" t="s">
        <v>134</v>
      </c>
      <c r="G25" s="18" t="s">
        <v>78</v>
      </c>
    </row>
    <row r="26" spans="1:8" ht="51.75" customHeight="1" x14ac:dyDescent="0.25">
      <c r="B26" s="49"/>
      <c r="C26" s="49"/>
      <c r="D26" s="14" t="s">
        <v>135</v>
      </c>
      <c r="E26" s="16" t="s">
        <v>136</v>
      </c>
      <c r="F26" s="90" t="s">
        <v>137</v>
      </c>
      <c r="G26" s="18" t="s">
        <v>128</v>
      </c>
    </row>
    <row r="27" spans="1:8" ht="51.75" customHeight="1" x14ac:dyDescent="0.25">
      <c r="B27" s="49"/>
      <c r="C27" s="49"/>
      <c r="D27" s="14" t="s">
        <v>138</v>
      </c>
      <c r="E27" s="16" t="s">
        <v>139</v>
      </c>
      <c r="F27" s="90" t="s">
        <v>140</v>
      </c>
      <c r="G27" s="18" t="s">
        <v>128</v>
      </c>
    </row>
    <row r="28" spans="1:8" ht="7.5" customHeight="1" x14ac:dyDescent="0.25">
      <c r="B28" s="44"/>
      <c r="C28" s="44"/>
      <c r="D28" s="44"/>
      <c r="E28" s="44"/>
      <c r="F28" s="44"/>
      <c r="G28" s="44"/>
    </row>
    <row r="29" spans="1:8" ht="3.75" customHeight="1" x14ac:dyDescent="0.25">
      <c r="A29" s="4"/>
      <c r="B29" s="4"/>
      <c r="C29" s="4"/>
      <c r="D29" s="4"/>
      <c r="E29" s="4"/>
      <c r="F29" s="4"/>
      <c r="G29" s="4"/>
      <c r="H29" s="4"/>
    </row>
  </sheetData>
  <mergeCells count="16">
    <mergeCell ref="B22:G22"/>
    <mergeCell ref="B23:B27"/>
    <mergeCell ref="C23:C27"/>
    <mergeCell ref="B28:G28"/>
    <mergeCell ref="A29:H29"/>
    <mergeCell ref="B10:G10"/>
    <mergeCell ref="B11:B15"/>
    <mergeCell ref="C11:C15"/>
    <mergeCell ref="B16:G16"/>
    <mergeCell ref="B17:B21"/>
    <mergeCell ref="C17:C21"/>
    <mergeCell ref="A1:H1"/>
    <mergeCell ref="B2:G2"/>
    <mergeCell ref="A3:H3"/>
    <mergeCell ref="B5:B9"/>
    <mergeCell ref="C5:C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
  <sheetViews>
    <sheetView showGridLines="0" tabSelected="1" zoomScale="85" zoomScaleNormal="85" workbookViewId="0">
      <selection activeCell="J6" sqref="J6"/>
    </sheetView>
  </sheetViews>
  <sheetFormatPr defaultColWidth="8.7109375" defaultRowHeight="15" x14ac:dyDescent="0.25"/>
  <cols>
    <col min="1" max="1" width="2" customWidth="1"/>
    <col min="2" max="2" width="8" customWidth="1"/>
    <col min="3" max="3" width="12" customWidth="1"/>
    <col min="4" max="4" width="44.5703125" customWidth="1"/>
    <col min="5" max="5" width="35.28515625" customWidth="1"/>
    <col min="6" max="6" width="30.140625" customWidth="1"/>
    <col min="7" max="7" width="16" customWidth="1"/>
    <col min="8" max="8" width="23.5703125" customWidth="1"/>
    <col min="9" max="9" width="22" customWidth="1"/>
  </cols>
  <sheetData>
    <row r="1" spans="1:9" ht="3.75" customHeight="1" x14ac:dyDescent="0.25">
      <c r="A1" s="4"/>
      <c r="B1" s="4"/>
      <c r="C1" s="4"/>
      <c r="D1" s="4"/>
      <c r="E1" s="4"/>
      <c r="F1" s="4"/>
      <c r="G1" s="4"/>
      <c r="H1" s="4"/>
      <c r="I1" s="4"/>
    </row>
    <row r="2" spans="1:9" ht="39.75" customHeight="1" x14ac:dyDescent="0.25">
      <c r="A2" s="8"/>
      <c r="B2" s="2" t="s">
        <v>141</v>
      </c>
      <c r="C2" s="2"/>
      <c r="D2" s="2"/>
      <c r="E2" s="2"/>
      <c r="F2" s="2"/>
      <c r="G2" s="2"/>
      <c r="H2" s="2"/>
      <c r="I2" s="8"/>
    </row>
    <row r="3" spans="1:9" ht="6" customHeight="1" x14ac:dyDescent="0.25">
      <c r="A3" s="7"/>
      <c r="B3" s="7"/>
      <c r="C3" s="7"/>
      <c r="D3" s="7"/>
      <c r="E3" s="7"/>
      <c r="F3" s="7"/>
      <c r="G3" s="7"/>
      <c r="H3" s="7"/>
      <c r="I3" s="7"/>
    </row>
    <row r="4" spans="1:9" ht="21.75" customHeight="1" x14ac:dyDescent="0.25">
      <c r="B4" s="11" t="s">
        <v>142</v>
      </c>
      <c r="C4" s="11" t="s">
        <v>143</v>
      </c>
      <c r="D4" s="11" t="s">
        <v>144</v>
      </c>
      <c r="E4" s="11" t="s">
        <v>145</v>
      </c>
      <c r="F4" s="11" t="s">
        <v>146</v>
      </c>
      <c r="G4" s="11" t="s">
        <v>147</v>
      </c>
      <c r="H4" s="11" t="s">
        <v>148</v>
      </c>
      <c r="I4" s="68" t="s">
        <v>149</v>
      </c>
    </row>
    <row r="5" spans="1:9" ht="99.75" customHeight="1" x14ac:dyDescent="0.25">
      <c r="B5" s="51" t="s">
        <v>150</v>
      </c>
      <c r="C5" s="23" t="s">
        <v>151</v>
      </c>
      <c r="D5" s="24" t="s">
        <v>152</v>
      </c>
      <c r="E5" s="24" t="s">
        <v>153</v>
      </c>
      <c r="F5" s="25" t="s">
        <v>154</v>
      </c>
      <c r="G5" s="95" t="s">
        <v>155</v>
      </c>
      <c r="H5" s="96" t="s">
        <v>156</v>
      </c>
      <c r="I5" s="92"/>
    </row>
    <row r="6" spans="1:9" ht="99.75" customHeight="1" x14ac:dyDescent="0.25">
      <c r="B6" s="51"/>
      <c r="C6" s="23" t="s">
        <v>157</v>
      </c>
      <c r="D6" s="24" t="s">
        <v>158</v>
      </c>
      <c r="E6" s="24" t="s">
        <v>159</v>
      </c>
      <c r="F6" s="25" t="s">
        <v>160</v>
      </c>
      <c r="G6" s="95" t="s">
        <v>161</v>
      </c>
      <c r="H6" s="96" t="s">
        <v>162</v>
      </c>
      <c r="I6" s="92"/>
    </row>
    <row r="7" spans="1:9" ht="99.75" customHeight="1" x14ac:dyDescent="0.25">
      <c r="B7" s="51"/>
      <c r="C7" s="23" t="s">
        <v>163</v>
      </c>
      <c r="D7" s="24" t="s">
        <v>164</v>
      </c>
      <c r="E7" s="24" t="s">
        <v>165</v>
      </c>
      <c r="F7" s="25" t="s">
        <v>166</v>
      </c>
      <c r="G7" s="95" t="s">
        <v>161</v>
      </c>
      <c r="H7" s="96" t="s">
        <v>167</v>
      </c>
      <c r="I7" s="92"/>
    </row>
    <row r="8" spans="1:9" ht="99.75" customHeight="1" x14ac:dyDescent="0.25">
      <c r="B8" s="51"/>
      <c r="C8" s="23" t="s">
        <v>168</v>
      </c>
      <c r="D8" s="24" t="s">
        <v>169</v>
      </c>
      <c r="E8" s="24" t="s">
        <v>170</v>
      </c>
      <c r="F8" s="25" t="s">
        <v>171</v>
      </c>
      <c r="G8" s="95" t="s">
        <v>172</v>
      </c>
      <c r="H8" s="96" t="s">
        <v>173</v>
      </c>
      <c r="I8" s="92"/>
    </row>
    <row r="9" spans="1:9" ht="7.5" customHeight="1" x14ac:dyDescent="0.25">
      <c r="B9" s="44"/>
      <c r="C9" s="44"/>
      <c r="D9" s="44"/>
      <c r="E9" s="44"/>
      <c r="F9" s="44"/>
      <c r="G9" s="44"/>
      <c r="H9" s="44"/>
      <c r="I9" s="92"/>
    </row>
    <row r="10" spans="1:9" ht="99.75" customHeight="1" x14ac:dyDescent="0.25">
      <c r="B10" s="52" t="s">
        <v>174</v>
      </c>
      <c r="C10" s="26" t="s">
        <v>175</v>
      </c>
      <c r="D10" s="24" t="s">
        <v>176</v>
      </c>
      <c r="E10" s="24" t="s">
        <v>177</v>
      </c>
      <c r="F10" s="27" t="s">
        <v>178</v>
      </c>
      <c r="G10" s="94" t="s">
        <v>179</v>
      </c>
      <c r="H10" s="96" t="s">
        <v>180</v>
      </c>
      <c r="I10" s="92"/>
    </row>
    <row r="11" spans="1:9" ht="99.75" customHeight="1" x14ac:dyDescent="0.25">
      <c r="B11" s="52"/>
      <c r="C11" s="26" t="s">
        <v>181</v>
      </c>
      <c r="D11" s="24" t="s">
        <v>182</v>
      </c>
      <c r="E11" s="24" t="s">
        <v>183</v>
      </c>
      <c r="F11" s="27" t="s">
        <v>184</v>
      </c>
      <c r="G11" s="94" t="s">
        <v>185</v>
      </c>
      <c r="H11" s="96" t="s">
        <v>186</v>
      </c>
      <c r="I11" s="92"/>
    </row>
    <row r="12" spans="1:9" ht="99.75" customHeight="1" x14ac:dyDescent="0.25">
      <c r="B12" s="52"/>
      <c r="C12" s="26" t="s">
        <v>187</v>
      </c>
      <c r="D12" s="24" t="s">
        <v>188</v>
      </c>
      <c r="E12" s="24" t="s">
        <v>189</v>
      </c>
      <c r="F12" s="27" t="s">
        <v>190</v>
      </c>
      <c r="G12" s="94" t="s">
        <v>191</v>
      </c>
      <c r="H12" s="96" t="s">
        <v>192</v>
      </c>
      <c r="I12" s="92"/>
    </row>
    <row r="13" spans="1:9" ht="99.75" customHeight="1" x14ac:dyDescent="0.25">
      <c r="B13" s="52"/>
      <c r="C13" s="26" t="s">
        <v>193</v>
      </c>
      <c r="D13" s="24" t="s">
        <v>194</v>
      </c>
      <c r="E13" s="24" t="s">
        <v>195</v>
      </c>
      <c r="F13" s="27" t="s">
        <v>196</v>
      </c>
      <c r="G13" s="94" t="s">
        <v>191</v>
      </c>
      <c r="H13" s="96" t="s">
        <v>197</v>
      </c>
      <c r="I13" s="92"/>
    </row>
    <row r="14" spans="1:9" ht="7.5" customHeight="1" x14ac:dyDescent="0.25">
      <c r="B14" s="44"/>
      <c r="C14" s="44"/>
      <c r="D14" s="44"/>
      <c r="E14" s="44"/>
      <c r="F14" s="44"/>
      <c r="G14" s="44"/>
      <c r="H14" s="44"/>
      <c r="I14" s="92"/>
    </row>
    <row r="15" spans="1:9" ht="99.75" customHeight="1" x14ac:dyDescent="0.25">
      <c r="B15" s="53" t="s">
        <v>198</v>
      </c>
      <c r="C15" s="28" t="s">
        <v>199</v>
      </c>
      <c r="D15" s="24" t="s">
        <v>200</v>
      </c>
      <c r="E15" s="24" t="s">
        <v>201</v>
      </c>
      <c r="F15" s="29" t="s">
        <v>202</v>
      </c>
      <c r="G15" s="93" t="s">
        <v>203</v>
      </c>
      <c r="H15" s="96" t="s">
        <v>204</v>
      </c>
      <c r="I15" s="92"/>
    </row>
    <row r="16" spans="1:9" ht="99.75" customHeight="1" x14ac:dyDescent="0.25">
      <c r="B16" s="53"/>
      <c r="C16" s="28" t="s">
        <v>205</v>
      </c>
      <c r="D16" s="24" t="s">
        <v>206</v>
      </c>
      <c r="E16" s="24" t="s">
        <v>207</v>
      </c>
      <c r="F16" s="29" t="s">
        <v>208</v>
      </c>
      <c r="G16" s="93" t="s">
        <v>203</v>
      </c>
      <c r="H16" s="96" t="s">
        <v>209</v>
      </c>
      <c r="I16" s="92"/>
    </row>
    <row r="17" spans="1:9" ht="99.75" customHeight="1" x14ac:dyDescent="0.25">
      <c r="B17" s="53"/>
      <c r="C17" s="28" t="s">
        <v>210</v>
      </c>
      <c r="D17" s="24" t="s">
        <v>211</v>
      </c>
      <c r="E17" s="24" t="s">
        <v>212</v>
      </c>
      <c r="F17" s="29" t="s">
        <v>213</v>
      </c>
      <c r="G17" s="93" t="s">
        <v>214</v>
      </c>
      <c r="H17" s="96" t="s">
        <v>215</v>
      </c>
      <c r="I17" s="92"/>
    </row>
    <row r="18" spans="1:9" ht="99.75" customHeight="1" x14ac:dyDescent="0.25">
      <c r="B18" s="53"/>
      <c r="C18" s="28" t="s">
        <v>216</v>
      </c>
      <c r="D18" s="24" t="s">
        <v>217</v>
      </c>
      <c r="E18" s="24" t="s">
        <v>218</v>
      </c>
      <c r="F18" s="29" t="s">
        <v>219</v>
      </c>
      <c r="G18" s="93" t="s">
        <v>214</v>
      </c>
      <c r="H18" s="96" t="s">
        <v>220</v>
      </c>
      <c r="I18" s="92"/>
    </row>
    <row r="19" spans="1:9" ht="7.5" customHeight="1" x14ac:dyDescent="0.25">
      <c r="B19" s="44"/>
      <c r="C19" s="44"/>
      <c r="D19" s="44"/>
      <c r="E19" s="44"/>
      <c r="F19" s="44"/>
      <c r="G19" s="44"/>
      <c r="H19" s="44"/>
    </row>
    <row r="20" spans="1:9" ht="3.75" customHeight="1" x14ac:dyDescent="0.25">
      <c r="A20" s="4"/>
      <c r="B20" s="4"/>
      <c r="C20" s="4"/>
      <c r="D20" s="4"/>
      <c r="E20" s="4"/>
      <c r="F20" s="4"/>
      <c r="G20" s="4"/>
      <c r="H20" s="4"/>
      <c r="I20" s="4"/>
    </row>
  </sheetData>
  <mergeCells count="10">
    <mergeCell ref="B10:B13"/>
    <mergeCell ref="B14:H14"/>
    <mergeCell ref="B15:B18"/>
    <mergeCell ref="B19:H19"/>
    <mergeCell ref="A20:I20"/>
    <mergeCell ref="A1:I1"/>
    <mergeCell ref="B2:H2"/>
    <mergeCell ref="A3:I3"/>
    <mergeCell ref="B5:B8"/>
    <mergeCell ref="B9:H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9"/>
  <sheetViews>
    <sheetView showGridLines="0" zoomScaleNormal="100" workbookViewId="0">
      <selection activeCell="H13" sqref="H13"/>
    </sheetView>
  </sheetViews>
  <sheetFormatPr defaultColWidth="8.7109375" defaultRowHeight="15" x14ac:dyDescent="0.25"/>
  <cols>
    <col min="1" max="1" width="2" customWidth="1"/>
    <col min="2" max="2" width="15" customWidth="1"/>
    <col min="3" max="3" width="35.28515625" customWidth="1"/>
    <col min="4" max="4" width="43.7109375" customWidth="1"/>
    <col min="5" max="5" width="37.28515625" customWidth="1"/>
    <col min="6" max="6" width="48.28515625" customWidth="1"/>
    <col min="7" max="7" width="15.85546875" hidden="1" customWidth="1"/>
  </cols>
  <sheetData>
    <row r="1" spans="1:7" ht="3.75" customHeight="1" x14ac:dyDescent="0.25">
      <c r="A1" s="4"/>
      <c r="B1" s="4"/>
      <c r="C1" s="4"/>
      <c r="D1" s="4"/>
      <c r="E1" s="4"/>
      <c r="F1" s="4"/>
      <c r="G1" s="4"/>
    </row>
    <row r="2" spans="1:7" ht="39.75" customHeight="1" x14ac:dyDescent="0.25">
      <c r="A2" s="8"/>
      <c r="B2" s="2" t="s">
        <v>221</v>
      </c>
      <c r="C2" s="2"/>
      <c r="D2" s="2"/>
      <c r="E2" s="2"/>
      <c r="F2" s="2"/>
      <c r="G2" s="8"/>
    </row>
    <row r="3" spans="1:7" ht="6" customHeight="1" x14ac:dyDescent="0.25">
      <c r="A3" s="7"/>
      <c r="B3" s="7"/>
      <c r="C3" s="7"/>
      <c r="D3" s="7"/>
      <c r="E3" s="7"/>
      <c r="F3" s="7"/>
      <c r="G3" s="7"/>
    </row>
    <row r="4" spans="1:7" ht="19.5" customHeight="1" x14ac:dyDescent="0.25">
      <c r="B4" s="54" t="s">
        <v>222</v>
      </c>
      <c r="C4" s="54"/>
      <c r="D4" s="54"/>
      <c r="E4" s="54"/>
      <c r="F4" s="54"/>
    </row>
    <row r="5" spans="1:7" ht="9.75" customHeight="1" x14ac:dyDescent="0.25"/>
    <row r="6" spans="1:7" ht="21.75" customHeight="1" x14ac:dyDescent="0.25">
      <c r="B6" s="11" t="s">
        <v>223</v>
      </c>
      <c r="C6" s="11" t="s">
        <v>224</v>
      </c>
      <c r="D6" s="11" t="s">
        <v>225</v>
      </c>
      <c r="E6" s="11" t="s">
        <v>226</v>
      </c>
      <c r="F6" s="11" t="s">
        <v>227</v>
      </c>
    </row>
    <row r="7" spans="1:7" ht="90" customHeight="1" x14ac:dyDescent="0.25">
      <c r="B7" s="30" t="s">
        <v>228</v>
      </c>
      <c r="C7" s="27" t="s">
        <v>229</v>
      </c>
      <c r="D7" s="31" t="s">
        <v>230</v>
      </c>
      <c r="E7" s="19" t="s">
        <v>231</v>
      </c>
      <c r="F7" s="16" t="s">
        <v>232</v>
      </c>
    </row>
    <row r="8" spans="1:7" ht="4.5" customHeight="1" x14ac:dyDescent="0.25">
      <c r="B8" s="44"/>
      <c r="C8" s="44"/>
      <c r="D8" s="44"/>
      <c r="E8" s="44"/>
      <c r="F8" s="44"/>
    </row>
    <row r="9" spans="1:7" ht="90" customHeight="1" x14ac:dyDescent="0.25">
      <c r="B9" s="32" t="s">
        <v>233</v>
      </c>
      <c r="C9" s="25" t="s">
        <v>234</v>
      </c>
      <c r="D9" s="31" t="s">
        <v>235</v>
      </c>
      <c r="E9" s="17" t="s">
        <v>236</v>
      </c>
      <c r="F9" s="16" t="s">
        <v>237</v>
      </c>
    </row>
    <row r="10" spans="1:7" ht="4.5" customHeight="1" x14ac:dyDescent="0.25">
      <c r="B10" s="44"/>
      <c r="C10" s="44"/>
      <c r="D10" s="44"/>
      <c r="E10" s="44"/>
      <c r="F10" s="44"/>
    </row>
    <row r="11" spans="1:7" ht="90" customHeight="1" x14ac:dyDescent="0.25">
      <c r="B11" s="33" t="s">
        <v>238</v>
      </c>
      <c r="C11" s="34" t="s">
        <v>239</v>
      </c>
      <c r="D11" s="31" t="s">
        <v>240</v>
      </c>
      <c r="E11" s="21" t="s">
        <v>241</v>
      </c>
      <c r="F11" s="16" t="s">
        <v>242</v>
      </c>
    </row>
    <row r="12" spans="1:7" ht="4.5" customHeight="1" x14ac:dyDescent="0.25">
      <c r="B12" s="44"/>
      <c r="C12" s="44"/>
      <c r="D12" s="44"/>
      <c r="E12" s="44"/>
      <c r="F12" s="44"/>
    </row>
    <row r="13" spans="1:7" ht="90" customHeight="1" x14ac:dyDescent="0.25">
      <c r="B13" s="35" t="s">
        <v>243</v>
      </c>
      <c r="C13" s="29" t="s">
        <v>239</v>
      </c>
      <c r="D13" s="31" t="s">
        <v>244</v>
      </c>
      <c r="E13" s="22" t="s">
        <v>245</v>
      </c>
      <c r="F13" s="16" t="s">
        <v>246</v>
      </c>
    </row>
    <row r="14" spans="1:7" ht="4.5" customHeight="1" x14ac:dyDescent="0.25">
      <c r="B14" s="44"/>
      <c r="C14" s="44"/>
      <c r="D14" s="44"/>
      <c r="E14" s="44"/>
      <c r="F14" s="44"/>
    </row>
    <row r="15" spans="1:7" ht="90" customHeight="1" x14ac:dyDescent="0.25">
      <c r="B15" s="30" t="s">
        <v>247</v>
      </c>
      <c r="C15" s="27" t="s">
        <v>248</v>
      </c>
      <c r="D15" s="31" t="s">
        <v>249</v>
      </c>
      <c r="E15" s="19" t="s">
        <v>250</v>
      </c>
      <c r="F15" s="16" t="s">
        <v>251</v>
      </c>
    </row>
    <row r="16" spans="1:7" ht="4.5" customHeight="1" x14ac:dyDescent="0.25">
      <c r="B16" s="44"/>
      <c r="C16" s="44"/>
      <c r="D16" s="44"/>
      <c r="E16" s="44"/>
      <c r="F16" s="44"/>
    </row>
    <row r="17" spans="1:7" ht="90" customHeight="1" x14ac:dyDescent="0.25">
      <c r="B17" s="33" t="s">
        <v>252</v>
      </c>
      <c r="C17" s="34" t="s">
        <v>253</v>
      </c>
      <c r="D17" s="31" t="s">
        <v>254</v>
      </c>
      <c r="E17" s="21" t="s">
        <v>255</v>
      </c>
      <c r="F17" s="16" t="s">
        <v>256</v>
      </c>
    </row>
    <row r="18" spans="1:7" ht="4.5" customHeight="1" x14ac:dyDescent="0.25">
      <c r="B18" s="44"/>
      <c r="C18" s="44"/>
      <c r="D18" s="44"/>
      <c r="E18" s="44"/>
      <c r="F18" s="44"/>
    </row>
    <row r="19" spans="1:7" ht="3.75" customHeight="1" x14ac:dyDescent="0.25">
      <c r="A19" s="4"/>
      <c r="B19" s="4"/>
      <c r="C19" s="4"/>
      <c r="D19" s="4"/>
      <c r="E19" s="4"/>
      <c r="F19" s="4"/>
      <c r="G19" s="4"/>
    </row>
  </sheetData>
  <mergeCells count="11">
    <mergeCell ref="A19:G19"/>
    <mergeCell ref="B10:F10"/>
    <mergeCell ref="B12:F12"/>
    <mergeCell ref="B14:F14"/>
    <mergeCell ref="B16:F16"/>
    <mergeCell ref="B18:F18"/>
    <mergeCell ref="A1:G1"/>
    <mergeCell ref="B2:F2"/>
    <mergeCell ref="A3:G3"/>
    <mergeCell ref="B4:F4"/>
    <mergeCell ref="B8:F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
  <sheetViews>
    <sheetView showGridLines="0" topLeftCell="A10" zoomScaleNormal="100" workbookViewId="0">
      <selection activeCell="F17" sqref="F17"/>
    </sheetView>
  </sheetViews>
  <sheetFormatPr defaultColWidth="8.7109375" defaultRowHeight="15" x14ac:dyDescent="0.25"/>
  <cols>
    <col min="1" max="1" width="2" customWidth="1"/>
    <col min="2" max="2" width="29.85546875" customWidth="1"/>
    <col min="3" max="3" width="26.7109375" customWidth="1"/>
    <col min="4" max="4" width="28.5703125" customWidth="1"/>
    <col min="5" max="5" width="43.140625" customWidth="1"/>
    <col min="6" max="6" width="46.140625" customWidth="1"/>
    <col min="7" max="7" width="2" customWidth="1"/>
  </cols>
  <sheetData>
    <row r="1" spans="1:7" ht="3.75" customHeight="1" x14ac:dyDescent="0.25">
      <c r="A1" s="4"/>
      <c r="B1" s="4"/>
      <c r="C1" s="4"/>
      <c r="D1" s="4"/>
      <c r="E1" s="4"/>
      <c r="F1" s="4"/>
      <c r="G1" s="4"/>
    </row>
    <row r="2" spans="1:7" ht="39.75" customHeight="1" x14ac:dyDescent="0.25">
      <c r="A2" s="8"/>
      <c r="B2" s="2" t="s">
        <v>257</v>
      </c>
      <c r="C2" s="2"/>
      <c r="D2" s="2"/>
      <c r="E2" s="2"/>
      <c r="F2" s="2"/>
      <c r="G2" s="8"/>
    </row>
    <row r="3" spans="1:7" ht="6" customHeight="1" x14ac:dyDescent="0.25">
      <c r="A3" s="7"/>
      <c r="B3" s="7"/>
      <c r="C3" s="7"/>
      <c r="D3" s="7"/>
      <c r="E3" s="7"/>
      <c r="F3" s="7"/>
      <c r="G3" s="7"/>
    </row>
    <row r="4" spans="1:7" ht="21.75" customHeight="1" x14ac:dyDescent="0.25">
      <c r="B4" s="15" t="s">
        <v>258</v>
      </c>
      <c r="C4" s="15" t="s">
        <v>259</v>
      </c>
      <c r="D4" s="15" t="s">
        <v>260</v>
      </c>
      <c r="E4" s="15" t="s">
        <v>261</v>
      </c>
      <c r="F4" s="15" t="s">
        <v>262</v>
      </c>
    </row>
    <row r="5" spans="1:7" ht="39.75" customHeight="1" x14ac:dyDescent="0.25">
      <c r="B5" s="36" t="s">
        <v>263</v>
      </c>
      <c r="C5" s="37">
        <v>4000000</v>
      </c>
      <c r="D5" s="37">
        <v>3000000</v>
      </c>
      <c r="E5" s="37">
        <v>2000000</v>
      </c>
      <c r="F5" s="91" t="s">
        <v>264</v>
      </c>
    </row>
    <row r="6" spans="1:7" ht="39.75" customHeight="1" x14ac:dyDescent="0.25">
      <c r="B6" s="36" t="s">
        <v>265</v>
      </c>
      <c r="C6" s="38">
        <v>3000000</v>
      </c>
      <c r="D6" s="38">
        <v>4000000</v>
      </c>
      <c r="E6" s="38">
        <v>5000000</v>
      </c>
      <c r="F6" s="91" t="s">
        <v>266</v>
      </c>
    </row>
    <row r="7" spans="1:7" ht="39.75" customHeight="1" x14ac:dyDescent="0.25">
      <c r="B7" s="36" t="s">
        <v>267</v>
      </c>
      <c r="C7" s="39">
        <v>1000000</v>
      </c>
      <c r="D7" s="39">
        <v>3000000</v>
      </c>
      <c r="E7" s="39">
        <v>4000000</v>
      </c>
      <c r="F7" s="91" t="s">
        <v>268</v>
      </c>
    </row>
    <row r="8" spans="1:7" ht="39.75" customHeight="1" x14ac:dyDescent="0.25">
      <c r="B8" s="36" t="s">
        <v>269</v>
      </c>
      <c r="C8" s="40">
        <v>3000000</v>
      </c>
      <c r="D8" s="40">
        <v>3500000</v>
      </c>
      <c r="E8" s="40">
        <v>4000000</v>
      </c>
      <c r="F8" s="91" t="s">
        <v>270</v>
      </c>
    </row>
    <row r="9" spans="1:7" ht="39.75" customHeight="1" x14ac:dyDescent="0.25">
      <c r="B9" s="36" t="s">
        <v>271</v>
      </c>
      <c r="C9" s="37">
        <v>1000000</v>
      </c>
      <c r="D9" s="37">
        <v>2500000</v>
      </c>
      <c r="E9" s="37">
        <v>2000000</v>
      </c>
      <c r="F9" s="91" t="s">
        <v>272</v>
      </c>
    </row>
    <row r="10" spans="1:7" ht="39.75" customHeight="1" x14ac:dyDescent="0.25">
      <c r="B10" s="41" t="s">
        <v>273</v>
      </c>
      <c r="C10" s="42">
        <f>SUM(C5:C9)</f>
        <v>12000000</v>
      </c>
      <c r="D10" s="42">
        <f>SUM(D5:D9)</f>
        <v>16000000</v>
      </c>
      <c r="E10" s="42">
        <f>SUM(E5:E9)</f>
        <v>17000000</v>
      </c>
      <c r="F10" s="91" t="s">
        <v>274</v>
      </c>
    </row>
    <row r="12" spans="1:7" ht="9.75" customHeight="1" x14ac:dyDescent="0.25"/>
    <row r="13" spans="1:7" ht="25.5" customHeight="1" x14ac:dyDescent="0.25">
      <c r="B13" s="3" t="s">
        <v>275</v>
      </c>
      <c r="C13" s="3"/>
      <c r="D13" s="3"/>
      <c r="E13" s="3"/>
      <c r="F13" s="3"/>
    </row>
    <row r="14" spans="1:7" ht="21.75" customHeight="1" x14ac:dyDescent="0.25">
      <c r="B14" s="11" t="s">
        <v>276</v>
      </c>
      <c r="C14" s="11" t="s">
        <v>277</v>
      </c>
      <c r="D14" s="11" t="s">
        <v>278</v>
      </c>
      <c r="E14" s="11" t="s">
        <v>279</v>
      </c>
    </row>
    <row r="15" spans="1:7" ht="79.5" customHeight="1" x14ac:dyDescent="0.25">
      <c r="B15" s="32" t="s">
        <v>280</v>
      </c>
      <c r="C15" s="17" t="s">
        <v>281</v>
      </c>
      <c r="D15" s="25" t="s">
        <v>282</v>
      </c>
      <c r="E15" s="16" t="s">
        <v>283</v>
      </c>
    </row>
    <row r="16" spans="1:7" ht="79.5" customHeight="1" x14ac:dyDescent="0.25">
      <c r="B16" s="30" t="s">
        <v>284</v>
      </c>
      <c r="C16" s="19" t="s">
        <v>285</v>
      </c>
      <c r="D16" s="27" t="s">
        <v>286</v>
      </c>
      <c r="E16" s="16" t="s">
        <v>287</v>
      </c>
    </row>
    <row r="17" spans="1:7" ht="79.5" customHeight="1" x14ac:dyDescent="0.25">
      <c r="B17" s="35" t="s">
        <v>288</v>
      </c>
      <c r="C17" s="22" t="s">
        <v>289</v>
      </c>
      <c r="D17" s="29" t="s">
        <v>290</v>
      </c>
      <c r="E17" s="16" t="s">
        <v>291</v>
      </c>
    </row>
    <row r="18" spans="1:7" ht="79.5" customHeight="1" x14ac:dyDescent="0.25">
      <c r="B18" s="33" t="s">
        <v>292</v>
      </c>
      <c r="C18" s="21" t="s">
        <v>293</v>
      </c>
      <c r="D18" s="34" t="s">
        <v>290</v>
      </c>
      <c r="E18" s="16" t="s">
        <v>294</v>
      </c>
    </row>
    <row r="19" spans="1:7" ht="79.5" customHeight="1" x14ac:dyDescent="0.25">
      <c r="B19" s="32" t="s">
        <v>295</v>
      </c>
      <c r="C19" s="17" t="s">
        <v>296</v>
      </c>
      <c r="D19" s="25" t="s">
        <v>297</v>
      </c>
      <c r="E19" s="16" t="s">
        <v>298</v>
      </c>
    </row>
    <row r="20" spans="1:7" ht="3.75" customHeight="1" x14ac:dyDescent="0.25">
      <c r="A20" s="4"/>
      <c r="B20" s="4"/>
      <c r="C20" s="4"/>
      <c r="D20" s="4"/>
      <c r="E20" s="4"/>
      <c r="F20" s="4"/>
      <c r="G20" s="4"/>
    </row>
  </sheetData>
  <mergeCells count="5">
    <mergeCell ref="A1:G1"/>
    <mergeCell ref="B2:F2"/>
    <mergeCell ref="A3:G3"/>
    <mergeCell ref="B13:F13"/>
    <mergeCell ref="A20:G2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 Dashboard</vt:lpstr>
      <vt:lpstr>📌 Content Pillar &amp; Angle</vt:lpstr>
      <vt:lpstr>📅 Content Calendar</vt:lpstr>
      <vt:lpstr>💬 Social Proof</vt:lpstr>
      <vt:lpstr>💰 Ngân Sách &amp; Nhân Sự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 Anh</cp:lastModifiedBy>
  <cp:revision>0</cp:revision>
  <dcterms:created xsi:type="dcterms:W3CDTF">2026-06-19T07:20:49Z</dcterms:created>
  <dcterms:modified xsi:type="dcterms:W3CDTF">2026-06-19T07:36:13Z</dcterms:modified>
  <dc:language>en-US</dc:language>
</cp:coreProperties>
</file>